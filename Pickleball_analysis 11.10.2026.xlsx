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8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marin\Downloads\"/>
    </mc:Choice>
  </mc:AlternateContent>
  <xr:revisionPtr revIDLastSave="0" documentId="13_ncr:1_{0F3A90BE-D89D-4F26-B977-07FDB262875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Висновки" sheetId="1" r:id="rId1"/>
    <sheet name="Pivot_Реєстрація" sheetId="2" r:id="rId2"/>
    <sheet name="Pivot_Матчі" sheetId="3" r:id="rId3"/>
    <sheet name="Американо" sheetId="4" r:id="rId4"/>
    <sheet name="Dim_Teams" sheetId="5" r:id="rId5"/>
    <sheet name="Fact_Matches" sheetId="6" r:id="rId6"/>
    <sheet name="Dim_Players" sheetId="7" r:id="rId7"/>
    <sheet name="PQ_DAX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51" i="7" l="1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K24" i="7"/>
  <c r="J24" i="7"/>
  <c r="K23" i="7"/>
  <c r="J23" i="7"/>
  <c r="K22" i="7"/>
  <c r="J22" i="7"/>
  <c r="K21" i="7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K4" i="7"/>
  <c r="J4" i="7"/>
  <c r="K3" i="7"/>
  <c r="J3" i="7"/>
  <c r="K2" i="7"/>
  <c r="J2" i="7"/>
  <c r="L49" i="6"/>
  <c r="K49" i="6"/>
  <c r="J49" i="6"/>
  <c r="L48" i="6"/>
  <c r="K48" i="6"/>
  <c r="J48" i="6"/>
  <c r="L47" i="6"/>
  <c r="K47" i="6"/>
  <c r="J47" i="6"/>
  <c r="L46" i="6"/>
  <c r="K46" i="6"/>
  <c r="J46" i="6"/>
  <c r="L45" i="6"/>
  <c r="K45" i="6"/>
  <c r="J45" i="6"/>
  <c r="L44" i="6"/>
  <c r="K44" i="6"/>
  <c r="J44" i="6"/>
  <c r="L43" i="6"/>
  <c r="K43" i="6"/>
  <c r="J43" i="6"/>
  <c r="L42" i="6"/>
  <c r="K42" i="6"/>
  <c r="J42" i="6"/>
  <c r="L41" i="6"/>
  <c r="K41" i="6"/>
  <c r="J41" i="6"/>
  <c r="L40" i="6"/>
  <c r="K40" i="6"/>
  <c r="J40" i="6"/>
  <c r="L39" i="6"/>
  <c r="K39" i="6"/>
  <c r="J39" i="6"/>
  <c r="L38" i="6"/>
  <c r="K38" i="6"/>
  <c r="J38" i="6"/>
  <c r="L37" i="6"/>
  <c r="K37" i="6"/>
  <c r="J37" i="6"/>
  <c r="L36" i="6"/>
  <c r="K36" i="6"/>
  <c r="J36" i="6"/>
  <c r="L35" i="6"/>
  <c r="K35" i="6"/>
  <c r="J35" i="6"/>
  <c r="L34" i="6"/>
  <c r="K34" i="6"/>
  <c r="J34" i="6"/>
  <c r="L33" i="6"/>
  <c r="K33" i="6"/>
  <c r="J33" i="6"/>
  <c r="L32" i="6"/>
  <c r="K32" i="6"/>
  <c r="J32" i="6"/>
  <c r="L31" i="6"/>
  <c r="K31" i="6"/>
  <c r="J31" i="6"/>
  <c r="L30" i="6"/>
  <c r="K30" i="6"/>
  <c r="J30" i="6"/>
  <c r="L29" i="6"/>
  <c r="K29" i="6"/>
  <c r="J29" i="6"/>
  <c r="L28" i="6"/>
  <c r="K28" i="6"/>
  <c r="J28" i="6"/>
  <c r="L27" i="6"/>
  <c r="K27" i="6"/>
  <c r="J27" i="6"/>
  <c r="L26" i="6"/>
  <c r="K26" i="6"/>
  <c r="J26" i="6"/>
  <c r="L25" i="6"/>
  <c r="K25" i="6"/>
  <c r="J25" i="6"/>
  <c r="L24" i="6"/>
  <c r="K24" i="6"/>
  <c r="J24" i="6"/>
  <c r="L23" i="6"/>
  <c r="K23" i="6"/>
  <c r="J23" i="6"/>
  <c r="L22" i="6"/>
  <c r="K22" i="6"/>
  <c r="J22" i="6"/>
  <c r="L21" i="6"/>
  <c r="K21" i="6"/>
  <c r="J21" i="6"/>
  <c r="L20" i="6"/>
  <c r="K20" i="6"/>
  <c r="J20" i="6"/>
  <c r="L19" i="6"/>
  <c r="K19" i="6"/>
  <c r="J19" i="6"/>
  <c r="L18" i="6"/>
  <c r="K18" i="6"/>
  <c r="J18" i="6"/>
  <c r="L17" i="6"/>
  <c r="K17" i="6"/>
  <c r="J17" i="6"/>
  <c r="L16" i="6"/>
  <c r="K16" i="6"/>
  <c r="J16" i="6"/>
  <c r="L15" i="6"/>
  <c r="K15" i="6"/>
  <c r="J15" i="6"/>
  <c r="L14" i="6"/>
  <c r="K14" i="6"/>
  <c r="J14" i="6"/>
  <c r="L13" i="6"/>
  <c r="K13" i="6"/>
  <c r="J13" i="6"/>
  <c r="L12" i="6"/>
  <c r="K12" i="6"/>
  <c r="J12" i="6"/>
  <c r="L11" i="6"/>
  <c r="K11" i="6"/>
  <c r="J11" i="6"/>
  <c r="L10" i="6"/>
  <c r="K10" i="6"/>
  <c r="J10" i="6"/>
  <c r="L9" i="6"/>
  <c r="K9" i="6"/>
  <c r="J9" i="6"/>
  <c r="L8" i="6"/>
  <c r="K8" i="6"/>
  <c r="J8" i="6"/>
  <c r="L7" i="6"/>
  <c r="K7" i="6"/>
  <c r="J7" i="6"/>
  <c r="L6" i="6"/>
  <c r="K6" i="6"/>
  <c r="J6" i="6"/>
  <c r="L5" i="6"/>
  <c r="K5" i="6"/>
  <c r="J5" i="6"/>
  <c r="L4" i="6"/>
  <c r="K4" i="6"/>
  <c r="J4" i="6"/>
  <c r="L3" i="6"/>
  <c r="K3" i="6"/>
  <c r="J3" i="6"/>
  <c r="L2" i="6"/>
  <c r="K2" i="6"/>
  <c r="J2" i="6"/>
  <c r="J23" i="5"/>
  <c r="I23" i="5"/>
  <c r="K23" i="5" s="1"/>
  <c r="G23" i="5"/>
  <c r="F23" i="5"/>
  <c r="H23" i="5" s="1"/>
  <c r="J22" i="5"/>
  <c r="I22" i="5"/>
  <c r="K22" i="5" s="1"/>
  <c r="G22" i="5"/>
  <c r="F22" i="5"/>
  <c r="L22" i="5" s="1"/>
  <c r="J21" i="5"/>
  <c r="I21" i="5"/>
  <c r="K21" i="5" s="1"/>
  <c r="H21" i="5"/>
  <c r="G21" i="5"/>
  <c r="F21" i="5"/>
  <c r="L21" i="5" s="1"/>
  <c r="J20" i="5"/>
  <c r="I20" i="5"/>
  <c r="K20" i="5" s="1"/>
  <c r="G20" i="5"/>
  <c r="F20" i="5"/>
  <c r="L20" i="5" s="1"/>
  <c r="J19" i="5"/>
  <c r="I19" i="5"/>
  <c r="K19" i="5" s="1"/>
  <c r="G19" i="5"/>
  <c r="F19" i="5"/>
  <c r="L19" i="5" s="1"/>
  <c r="J18" i="5"/>
  <c r="I18" i="5"/>
  <c r="K18" i="5" s="1"/>
  <c r="G18" i="5"/>
  <c r="F18" i="5"/>
  <c r="H18" i="5" s="1"/>
  <c r="L17" i="5"/>
  <c r="J17" i="5"/>
  <c r="I17" i="5"/>
  <c r="K17" i="5" s="1"/>
  <c r="G17" i="5"/>
  <c r="F17" i="5"/>
  <c r="H17" i="5" s="1"/>
  <c r="L16" i="5"/>
  <c r="K16" i="5"/>
  <c r="J16" i="5"/>
  <c r="I16" i="5"/>
  <c r="H16" i="5"/>
  <c r="G16" i="5"/>
  <c r="F16" i="5"/>
  <c r="J15" i="5"/>
  <c r="I15" i="5"/>
  <c r="K15" i="5" s="1"/>
  <c r="G15" i="5"/>
  <c r="F15" i="5"/>
  <c r="H15" i="5" s="1"/>
  <c r="J14" i="5"/>
  <c r="I14" i="5"/>
  <c r="K14" i="5" s="1"/>
  <c r="G14" i="5"/>
  <c r="F14" i="5"/>
  <c r="L14" i="5" s="1"/>
  <c r="J13" i="5"/>
  <c r="I13" i="5"/>
  <c r="K13" i="5" s="1"/>
  <c r="H13" i="5"/>
  <c r="G13" i="5"/>
  <c r="F13" i="5"/>
  <c r="L13" i="5" s="1"/>
  <c r="J12" i="5"/>
  <c r="I12" i="5"/>
  <c r="K12" i="5" s="1"/>
  <c r="G12" i="5"/>
  <c r="F12" i="5"/>
  <c r="L12" i="5" s="1"/>
  <c r="J11" i="5"/>
  <c r="I11" i="5"/>
  <c r="K11" i="5" s="1"/>
  <c r="G11" i="5"/>
  <c r="F11" i="5"/>
  <c r="L11" i="5" s="1"/>
  <c r="J10" i="5"/>
  <c r="I10" i="5"/>
  <c r="K10" i="5" s="1"/>
  <c r="G10" i="5"/>
  <c r="F10" i="5"/>
  <c r="H10" i="5" s="1"/>
  <c r="L9" i="5"/>
  <c r="J9" i="5"/>
  <c r="I9" i="5"/>
  <c r="K9" i="5" s="1"/>
  <c r="G9" i="5"/>
  <c r="F9" i="5"/>
  <c r="H9" i="5" s="1"/>
  <c r="L8" i="5"/>
  <c r="K8" i="5"/>
  <c r="J8" i="5"/>
  <c r="I8" i="5"/>
  <c r="H8" i="5"/>
  <c r="G8" i="5"/>
  <c r="F8" i="5"/>
  <c r="J7" i="5"/>
  <c r="I7" i="5"/>
  <c r="K7" i="5" s="1"/>
  <c r="G7" i="5"/>
  <c r="F7" i="5"/>
  <c r="H7" i="5" s="1"/>
  <c r="J6" i="5"/>
  <c r="I6" i="5"/>
  <c r="K6" i="5" s="1"/>
  <c r="G6" i="5"/>
  <c r="F6" i="5"/>
  <c r="L6" i="5" s="1"/>
  <c r="J5" i="5"/>
  <c r="I5" i="5"/>
  <c r="K5" i="5" s="1"/>
  <c r="H5" i="5"/>
  <c r="G5" i="5"/>
  <c r="F5" i="5"/>
  <c r="L5" i="5" s="1"/>
  <c r="J4" i="5"/>
  <c r="I4" i="5"/>
  <c r="K4" i="5" s="1"/>
  <c r="G4" i="5"/>
  <c r="F4" i="5"/>
  <c r="L4" i="5" s="1"/>
  <c r="J3" i="5"/>
  <c r="I3" i="5"/>
  <c r="K3" i="5" s="1"/>
  <c r="G3" i="5"/>
  <c r="F3" i="5"/>
  <c r="L3" i="5" s="1"/>
  <c r="J2" i="5"/>
  <c r="I2" i="5"/>
  <c r="K2" i="5" s="1"/>
  <c r="G2" i="5"/>
  <c r="F2" i="5"/>
  <c r="H2" i="5" s="1"/>
  <c r="F10" i="4"/>
  <c r="E10" i="4"/>
  <c r="G10" i="4" s="1"/>
  <c r="H10" i="4" s="1"/>
  <c r="C10" i="4"/>
  <c r="B10" i="4"/>
  <c r="D10" i="4" s="1"/>
  <c r="G9" i="4"/>
  <c r="F9" i="4"/>
  <c r="E9" i="4"/>
  <c r="C9" i="4"/>
  <c r="B9" i="4"/>
  <c r="D9" i="4" s="1"/>
  <c r="F8" i="4"/>
  <c r="E8" i="4"/>
  <c r="G8" i="4" s="1"/>
  <c r="D8" i="4"/>
  <c r="C8" i="4"/>
  <c r="H8" i="4" s="1"/>
  <c r="B8" i="4"/>
  <c r="F7" i="4"/>
  <c r="E7" i="4"/>
  <c r="G7" i="4" s="1"/>
  <c r="C7" i="4"/>
  <c r="H7" i="4" s="1"/>
  <c r="B7" i="4"/>
  <c r="D7" i="4" s="1"/>
  <c r="F6" i="4"/>
  <c r="E6" i="4"/>
  <c r="G6" i="4" s="1"/>
  <c r="D6" i="4"/>
  <c r="C6" i="4"/>
  <c r="H6" i="4" s="1"/>
  <c r="B6" i="4"/>
  <c r="F5" i="4"/>
  <c r="E5" i="4"/>
  <c r="G5" i="4" s="1"/>
  <c r="H9" i="4" s="1"/>
  <c r="C5" i="4"/>
  <c r="H5" i="4" s="1"/>
  <c r="B5" i="4"/>
  <c r="D5" i="4" s="1"/>
  <c r="E28" i="3"/>
  <c r="D28" i="3"/>
  <c r="C28" i="3"/>
  <c r="B28" i="3"/>
  <c r="D27" i="3"/>
  <c r="C27" i="3"/>
  <c r="B27" i="3"/>
  <c r="E27" i="3" s="1"/>
  <c r="E21" i="3"/>
  <c r="D21" i="3"/>
  <c r="F21" i="3" s="1"/>
  <c r="F20" i="3"/>
  <c r="E20" i="3"/>
  <c r="D20" i="3"/>
  <c r="E19" i="3"/>
  <c r="D19" i="3"/>
  <c r="F19" i="3" s="1"/>
  <c r="E18" i="3"/>
  <c r="D18" i="3"/>
  <c r="F18" i="3" s="1"/>
  <c r="F17" i="3"/>
  <c r="E17" i="3"/>
  <c r="D17" i="3"/>
  <c r="E16" i="3"/>
  <c r="E22" i="3" s="1"/>
  <c r="D16" i="3"/>
  <c r="D22" i="3" s="1"/>
  <c r="F11" i="3"/>
  <c r="E11" i="3"/>
  <c r="I10" i="3"/>
  <c r="H10" i="3"/>
  <c r="G10" i="3"/>
  <c r="F10" i="3"/>
  <c r="E10" i="3"/>
  <c r="D10" i="3"/>
  <c r="I9" i="3"/>
  <c r="H9" i="3"/>
  <c r="G9" i="3"/>
  <c r="F9" i="3"/>
  <c r="E9" i="3"/>
  <c r="D9" i="3"/>
  <c r="I8" i="3"/>
  <c r="H8" i="3"/>
  <c r="G8" i="3"/>
  <c r="F8" i="3"/>
  <c r="E8" i="3"/>
  <c r="D8" i="3"/>
  <c r="I7" i="3"/>
  <c r="H7" i="3"/>
  <c r="H11" i="3" s="1"/>
  <c r="G7" i="3"/>
  <c r="F7" i="3"/>
  <c r="E7" i="3"/>
  <c r="D7" i="3"/>
  <c r="I6" i="3"/>
  <c r="I11" i="3" s="1"/>
  <c r="H6" i="3"/>
  <c r="G6" i="3"/>
  <c r="G11" i="3" s="1"/>
  <c r="F6" i="3"/>
  <c r="E6" i="3"/>
  <c r="D6" i="3"/>
  <c r="D11" i="3" s="1"/>
  <c r="D61" i="2"/>
  <c r="C61" i="2"/>
  <c r="B61" i="2"/>
  <c r="E61" i="2" s="1"/>
  <c r="D60" i="2"/>
  <c r="C60" i="2"/>
  <c r="B60" i="2"/>
  <c r="E60" i="2" s="1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C32" i="2"/>
  <c r="D31" i="2"/>
  <c r="C31" i="2"/>
  <c r="B31" i="2"/>
  <c r="E31" i="2" s="1"/>
  <c r="E30" i="2"/>
  <c r="D30" i="2"/>
  <c r="C30" i="2"/>
  <c r="B30" i="2"/>
  <c r="D29" i="2"/>
  <c r="C29" i="2"/>
  <c r="B29" i="2"/>
  <c r="E29" i="2" s="1"/>
  <c r="E28" i="2"/>
  <c r="D28" i="2"/>
  <c r="C28" i="2"/>
  <c r="B28" i="2"/>
  <c r="D27" i="2"/>
  <c r="C27" i="2"/>
  <c r="B27" i="2"/>
  <c r="E27" i="2" s="1"/>
  <c r="D26" i="2"/>
  <c r="D32" i="2" s="1"/>
  <c r="C26" i="2"/>
  <c r="B26" i="2"/>
  <c r="E26" i="2" s="1"/>
  <c r="B20" i="2"/>
  <c r="B19" i="2"/>
  <c r="B18" i="2"/>
  <c r="B17" i="2"/>
  <c r="B16" i="2"/>
  <c r="B15" i="2"/>
  <c r="B14" i="2"/>
  <c r="B13" i="2"/>
  <c r="B12" i="2"/>
  <c r="B11" i="2"/>
  <c r="B10" i="2"/>
  <c r="B9" i="2"/>
  <c r="C20" i="2" s="1"/>
  <c r="C8" i="2"/>
  <c r="B8" i="2"/>
  <c r="B7" i="2"/>
  <c r="B6" i="2"/>
  <c r="C19" i="2" s="1"/>
  <c r="E5" i="1"/>
  <c r="D5" i="1"/>
  <c r="C5" i="1"/>
  <c r="B5" i="1"/>
  <c r="A5" i="1"/>
  <c r="F26" i="2" l="1"/>
  <c r="E32" i="2"/>
  <c r="F30" i="2"/>
  <c r="F29" i="2"/>
  <c r="F27" i="2"/>
  <c r="B21" i="2"/>
  <c r="C12" i="2"/>
  <c r="C16" i="2"/>
  <c r="B32" i="2"/>
  <c r="L2" i="5"/>
  <c r="H6" i="5"/>
  <c r="L10" i="5"/>
  <c r="H14" i="5"/>
  <c r="L18" i="5"/>
  <c r="H22" i="5"/>
  <c r="C9" i="2"/>
  <c r="C13" i="2"/>
  <c r="C17" i="2"/>
  <c r="H4" i="5"/>
  <c r="H12" i="5"/>
  <c r="H20" i="5"/>
  <c r="H3" i="5"/>
  <c r="L7" i="5"/>
  <c r="H11" i="5"/>
  <c r="L15" i="5"/>
  <c r="H19" i="5"/>
  <c r="L23" i="5"/>
  <c r="C6" i="2"/>
  <c r="C10" i="2"/>
  <c r="C14" i="2"/>
  <c r="C18" i="2"/>
  <c r="F16" i="3"/>
  <c r="F22" i="3" s="1"/>
  <c r="C7" i="2"/>
  <c r="C11" i="2"/>
  <c r="C15" i="2"/>
  <c r="F32" i="2" l="1"/>
  <c r="F28" i="2"/>
  <c r="F31" i="2"/>
</calcChain>
</file>

<file path=xl/sharedStrings.xml><?xml version="1.0" encoding="utf-8"?>
<sst xmlns="http://schemas.openxmlformats.org/spreadsheetml/2006/main" count="940" uniqueCount="359">
  <si>
    <t>Турнір з піклболу (ветерани): аналіз реєстрації та результатів</t>
  </si>
  <si>
    <t>Джерело: Pickleball_11_10_26.xlsx (3 групи: пари 1 і 2, «Американо» 3). Дані перенесено в таблиці Dim_Players, Fact_Matches, Dim_Teams; усі зведення рахуються формулами.</t>
  </si>
  <si>
    <t>Учасників</t>
  </si>
  <si>
    <t>Матчів</t>
  </si>
  <si>
    <t>Сер. різниця очок</t>
  </si>
  <si>
    <t>Матчів 11:0</t>
  </si>
  <si>
    <t>Додано вручну, %</t>
  </si>
  <si>
    <t>Склад і реєстрація</t>
  </si>
  <si>
    <t>- 50 учасників: Група 1 - 16 (8 пар), Група 2 - 28 (14 пар), Група 3 - 6 (індивідуально, «Американо»). Зіграно 48 матчів (16 / 26 / 6).</t>
  </si>
  <si>
    <t>- Найбільша категорія - «ветерани з невидимими травмами»: 23 людини (46%). Категорії «крісла колісні» (5) і «протези» (4) грають лише в Групі 1, і там кожну пару з гравцем на кріслі зібрано з гравцем іншої категорії (змішані пари).</t>
  </si>
  <si>
    <t>- Лише 39 із 50 записів прийшли через форму (78%); 11 людей додано вручну (без номера і часу), а 11 номерів реєстрації (20, 21, 23, 24, 25, 35, 39, 41, 44, 47, 48) у сітках відсутні. Схоже на заміни та відмови, але це варто перевірити.</t>
  </si>
  <si>
    <t>- Реєстрація тривала з 21.09 до 05.10. Перший день дав 10 із 39 заявок (26%), далі були хвилі 23.09, 26-27.09 і 04.10 (перед дедлайном). Найактивніші години: 18-21 (14 заявок, 36%) і 9-11 (11 заявок, 28%) - анонси краще ставити саме на ці вікна.</t>
  </si>
  <si>
    <t>Рівень матчів</t>
  </si>
  <si>
    <t>- Середня різниця очок: 8,2 у груповому етапі проти 5,7 у play-off. Тобто плей-оф значно рівніший.</t>
  </si>
  <si>
    <t>- 24 із 48 матчів (50%) завершились із різницею 9+ очок, 10 матчів - «сухі» 11:0, і 9 з них припадають на групи Групи 2 (половина всіх її групових матчів). Дві пари Групи 2 програли всі три гри з рахунком 0:33.</t>
  </si>
  <si>
    <t>- Близьких матчів (різниця до 3 очок): 3 з 36 у групах (8%) проти 4 з 12 у play-off (33%). Обидва фінали вирішились мінімально: 11:7 і 11:8.</t>
  </si>
  <si>
    <t>- Переможці пулів у першому колі play-off (1/2 у Групі 1, 1/4 у Групі 2) виграли лише 3 з 6 матчів проти пар, що посіли 2-ге місце. Вибірка мала, але груповий етап слабо передбачив плей-оф.</t>
  </si>
  <si>
    <t>Результати</t>
  </si>
  <si>
    <t>- Група 1: 1 місце - Довгань / Катеринич О. (фінал 11:7 з Бичков / Пархоменко), 3 місце - Рябошапко / Олейник.</t>
  </si>
  <si>
    <t>- Група 2: 1 місце - Салабай / Шульга (фінал 11:8 зі Сторожук / Нестерчук), 3 місце - Тарарака / Татаров.</t>
  </si>
  <si>
    <t>- Група 3 («Американо»): 1 місце - Крівонос Галина (4 перемоги з 4, різниця +34), 2 - Катеринич Ірина (3-1, +11), 3 - Концева Еліна (2-2, +1). Ільїна Наталія програла всі 4 гри (-37).</t>
  </si>
  <si>
    <t>Якість даних і що перевірити</t>
  </si>
  <si>
    <t>- Гравець «Олейник Юрій Валерійович» зустрічається двічі: Група 1 (№ 42, 04.10) і Група 2 (№ 15, 23.09). Це або дубль, або одна людина грала у двох турнірах.</t>
  </si>
  <si>
    <t>- Помилки в джерелі: у назві категорії «колісних колісних» двічі; заголовок «ТАБЛИЦЯ ГРУПИ 1» повторюється в аркуші Групи 2; у кількох рядках замість «ТАК» стоїть прізвище; «Крівонос» / «Кривонос» - різне написання. У категорії порожньо для 10 гравців.</t>
  </si>
  <si>
    <t>Рекомендації організаторам</t>
  </si>
  <si>
    <t>- Сіяти пули за рівнем (хоча б 2-3 рівні), щоб не було 11:0 у половині матчів. Додати поле «категорія / рівень» і для ручних заявок. Фіксувати причину відмови і заміни, щоб заявки не «зникали».</t>
  </si>
  <si>
    <t>Pivot: реєстрація учасників</t>
  </si>
  <si>
    <t>Усі зведення нижче - живі формули (COUNTIFS) над таблицею Dim_Players. Реєстрації без часу (додані вручну) у часових зведеннях не враховуються.</t>
  </si>
  <si>
    <t>1. Реєстрації за датами</t>
  </si>
  <si>
    <t>Дата</t>
  </si>
  <si>
    <t>Реєстрацій</t>
  </si>
  <si>
    <t>Накопичувально</t>
  </si>
  <si>
    <t>Разом</t>
  </si>
  <si>
    <t>2. Категорія × турнір (кількість гравців)</t>
  </si>
  <si>
    <t>Категорія</t>
  </si>
  <si>
    <t>Група 1</t>
  </si>
  <si>
    <t>Група 2</t>
  </si>
  <si>
    <t>Група 3</t>
  </si>
  <si>
    <t>Всього</t>
  </si>
  <si>
    <t>Частка</t>
  </si>
  <si>
    <t>Ветерани з невидимими травмами</t>
  </si>
  <si>
    <t>Ветерани на кріслах колісних</t>
  </si>
  <si>
    <t>Ветерани на протезах</t>
  </si>
  <si>
    <t>Ветерани без поранень</t>
  </si>
  <si>
    <t>Члени родин ветеранів</t>
  </si>
  <si>
    <t>Не вказано</t>
  </si>
  <si>
    <t>3. Година реєстрації</t>
  </si>
  <si>
    <t>Година</t>
  </si>
  <si>
    <t>4. Джерело запису в турнір</t>
  </si>
  <si>
    <t>Джерело</t>
  </si>
  <si>
    <t>Форма реєстрації</t>
  </si>
  <si>
    <t>Додано вручну</t>
  </si>
  <si>
    <t>Pivot: матчі та конкурентність</t>
  </si>
  <si>
    <t>Джерело: таблиця Fact_Matches (48 матчів). Різниця очок = модуль різниці рахунку; "близькі" - різниця до 3 очок включно; "розгроми" - від 9.</t>
  </si>
  <si>
    <t>1. Турнір × етап</t>
  </si>
  <si>
    <t>Турнір / етап</t>
  </si>
  <si>
    <t>Турнір</t>
  </si>
  <si>
    <t>Етап</t>
  </si>
  <si>
    <t>Сер. різниця</t>
  </si>
  <si>
    <t>Сер. сума очок</t>
  </si>
  <si>
    <t>Близьких (≤3)</t>
  </si>
  <si>
    <t>Розгромів (≥9)</t>
  </si>
  <si>
    <t>Г1 групи</t>
  </si>
  <si>
    <t>Груповий етап</t>
  </si>
  <si>
    <t>Г1 play-off</t>
  </si>
  <si>
    <t>Play-off</t>
  </si>
  <si>
    <t>Г2 групи</t>
  </si>
  <si>
    <t>Г2 play-off</t>
  </si>
  <si>
    <t>Г3 американо</t>
  </si>
  <si>
    <t>2. Розподіл різниці очок</t>
  </si>
  <si>
    <t>Різниця очок</t>
  </si>
  <si>
    <t>Від</t>
  </si>
  <si>
    <t>До</t>
  </si>
  <si>
    <t>1-2</t>
  </si>
  <si>
    <t>3-4</t>
  </si>
  <si>
    <t>5-6</t>
  </si>
  <si>
    <t>7-8</t>
  </si>
  <si>
    <t>9-10</t>
  </si>
  <si>
    <t>11 (суха)</t>
  </si>
  <si>
    <t>3. Груповий етап проти play-off (усі турніри)</t>
  </si>
  <si>
    <t>Близьких, %</t>
  </si>
  <si>
    <t>Група 3: формат «Американо» (індивідуальний залік)</t>
  </si>
  <si>
    <t>Пари змінюються щомісяця матчу; кожна гравчиня зіграла по 4 з 6 матчів. Формули шукають прізвище в назві пари (Fact_Matches, Tournament = "Група 3").</t>
  </si>
  <si>
    <t>Гравчиня</t>
  </si>
  <si>
    <t>Ігор</t>
  </si>
  <si>
    <t>Перемог</t>
  </si>
  <si>
    <t>Поразок</t>
  </si>
  <si>
    <t>Очки (+)</t>
  </si>
  <si>
    <t>Очки (-)</t>
  </si>
  <si>
    <t>Різниця</t>
  </si>
  <si>
    <t>Місце</t>
  </si>
  <si>
    <t>Крівонос Г.</t>
  </si>
  <si>
    <t>Катеринич І.</t>
  </si>
  <si>
    <t>Концева Е.</t>
  </si>
  <si>
    <t>Котліна В.</t>
  </si>
  <si>
    <t>Папурова А.</t>
  </si>
  <si>
    <t>Ільїна Н.</t>
  </si>
  <si>
    <t>Tournament</t>
  </si>
  <si>
    <t>TeamNo</t>
  </si>
  <si>
    <t>Team</t>
  </si>
  <si>
    <t>Players</t>
  </si>
  <si>
    <t>Pool</t>
  </si>
  <si>
    <t>Games</t>
  </si>
  <si>
    <t>Wins</t>
  </si>
  <si>
    <t>Losses</t>
  </si>
  <si>
    <t>PointsFor</t>
  </si>
  <si>
    <t>PointsAgainst</t>
  </si>
  <si>
    <t>Diff</t>
  </si>
  <si>
    <t>WinRate</t>
  </si>
  <si>
    <t>Result</t>
  </si>
  <si>
    <t>Різниця очок по командах (усі матчі, Групи 1 і 2)</t>
  </si>
  <si>
    <t>Г2-Т2 Салабай / Шульга</t>
  </si>
  <si>
    <t>Салабай / Шульга</t>
  </si>
  <si>
    <t>Пул C</t>
  </si>
  <si>
    <t>1 місце</t>
  </si>
  <si>
    <t>Г1-Т1 Рябошапко / Олейник</t>
  </si>
  <si>
    <t>Рябошапко / Олейник</t>
  </si>
  <si>
    <t>Пул A</t>
  </si>
  <si>
    <t>3 місце</t>
  </si>
  <si>
    <t>Г2-Т1 Сторожук / Нестерчук</t>
  </si>
  <si>
    <t>Сторожук / Нестерчук</t>
  </si>
  <si>
    <t>Пул D</t>
  </si>
  <si>
    <t>2 місце</t>
  </si>
  <si>
    <t>Г2-Т4 Тарарака / Татаров</t>
  </si>
  <si>
    <t>Тарарака / Татаров</t>
  </si>
  <si>
    <t>Пул B</t>
  </si>
  <si>
    <t>Г1-Т6 Довгань / Катеринич О.</t>
  </si>
  <si>
    <t>Довгань / Катеринич О.</t>
  </si>
  <si>
    <t>Г2-Т3 Концевой / Парфенюк</t>
  </si>
  <si>
    <t>Концевой / Парфенюк</t>
  </si>
  <si>
    <t>1/4 фіналу</t>
  </si>
  <si>
    <t>Г2-Т7 Орєшин / Грибонос</t>
  </si>
  <si>
    <t>Орєшин / Грибонос</t>
  </si>
  <si>
    <t>Г2-Т13 Фещук / Гиряк</t>
  </si>
  <si>
    <t>Фещук / Гиряк</t>
  </si>
  <si>
    <t>4 місце</t>
  </si>
  <si>
    <t>Г1-Т5 Бичков / Пархоменко</t>
  </si>
  <si>
    <t>Бичков / Пархоменко</t>
  </si>
  <si>
    <t>Г1-Т8 Зімін / Папуров</t>
  </si>
  <si>
    <t>Зімін / Папуров</t>
  </si>
  <si>
    <t>Вибули в групі</t>
  </si>
  <si>
    <t>Г1-Т4 Барбінягра / Лапшинський</t>
  </si>
  <si>
    <t>Барбінягра / Лапшинський</t>
  </si>
  <si>
    <t>Г2-Т5 Прокопович / Кравцов</t>
  </si>
  <si>
    <t>Прокопович / Кравцов</t>
  </si>
  <si>
    <t>Г2-Т14 Трач / Дучєв</t>
  </si>
  <si>
    <t>Трач / Дучєв</t>
  </si>
  <si>
    <t>Г2-Т12 Делігіоз / Цап</t>
  </si>
  <si>
    <t>Делігіоз / Цап</t>
  </si>
  <si>
    <t>Г2-Т6 Глухов / Змієвський</t>
  </si>
  <si>
    <t>Глухов / Змієвський</t>
  </si>
  <si>
    <t>Г2-Т8 Камінський / Дідик</t>
  </si>
  <si>
    <t>Камінський / Дідик</t>
  </si>
  <si>
    <t>Г1-Т3 Кутовой / Куліков</t>
  </si>
  <si>
    <t>Кутовой / Куліков</t>
  </si>
  <si>
    <t>Г2-Т10 Кривонос / Мазур</t>
  </si>
  <si>
    <t>Кривонос / Мазур</t>
  </si>
  <si>
    <t>Г1-Т2 Кухаренко / Васильєв</t>
  </si>
  <si>
    <t>Кухаренко / Васильєв</t>
  </si>
  <si>
    <t>Г1-Т7 Лещенко / Москалюк</t>
  </si>
  <si>
    <t>Лещенко / Москалюк</t>
  </si>
  <si>
    <t>Г2-Т9 Горковець / Толкачов</t>
  </si>
  <si>
    <t>Горковець / Толкачов</t>
  </si>
  <si>
    <t>Г2-Т11 Пазиніч / Олейник</t>
  </si>
  <si>
    <t>Пазиніч / Олейник</t>
  </si>
  <si>
    <t>MatchID</t>
  </si>
  <si>
    <t>Stage</t>
  </si>
  <si>
    <t>Round</t>
  </si>
  <si>
    <t>Team1</t>
  </si>
  <si>
    <t>Score1</t>
  </si>
  <si>
    <t>Score2</t>
  </si>
  <si>
    <t>Team2</t>
  </si>
  <si>
    <t>Winner</t>
  </si>
  <si>
    <t>Margin</t>
  </si>
  <si>
    <t>Total</t>
  </si>
  <si>
    <t>Г1-М1</t>
  </si>
  <si>
    <t>Тур 1</t>
  </si>
  <si>
    <t>Г1-М2</t>
  </si>
  <si>
    <t>Г1-М3</t>
  </si>
  <si>
    <t>Тур 2</t>
  </si>
  <si>
    <t>Г1-М4</t>
  </si>
  <si>
    <t>Г1-М5</t>
  </si>
  <si>
    <t>Тур 3</t>
  </si>
  <si>
    <t>Г1-М6</t>
  </si>
  <si>
    <t>Г1-М7</t>
  </si>
  <si>
    <t>Г1-М8</t>
  </si>
  <si>
    <t>Г1-М9</t>
  </si>
  <si>
    <t>Г1-М10</t>
  </si>
  <si>
    <t>Г1-М11</t>
  </si>
  <si>
    <t>Г1-М12</t>
  </si>
  <si>
    <t>Г1-ПФ1</t>
  </si>
  <si>
    <t>1/2 фіналу</t>
  </si>
  <si>
    <t>Г1-ПФ2</t>
  </si>
  <si>
    <t>Г1-Бронза</t>
  </si>
  <si>
    <t>За 3 місце</t>
  </si>
  <si>
    <t>Г1-Фінал</t>
  </si>
  <si>
    <t>Фінал</t>
  </si>
  <si>
    <t>Г2-М1</t>
  </si>
  <si>
    <t>Г2-М2</t>
  </si>
  <si>
    <t>Г2-М3</t>
  </si>
  <si>
    <t>Г2-М4</t>
  </si>
  <si>
    <t>Г2-М5</t>
  </si>
  <si>
    <t>Г2-М6</t>
  </si>
  <si>
    <t>Г2-М7</t>
  </si>
  <si>
    <t>Г2-М8</t>
  </si>
  <si>
    <t>Г2-М9</t>
  </si>
  <si>
    <t>Г2-М10</t>
  </si>
  <si>
    <t>Г2-М11</t>
  </si>
  <si>
    <t>Г2-М12</t>
  </si>
  <si>
    <t>Г2-М13</t>
  </si>
  <si>
    <t>Г2-М14</t>
  </si>
  <si>
    <t>Г2-М15</t>
  </si>
  <si>
    <t>Г2-М16</t>
  </si>
  <si>
    <t>Г2-М17</t>
  </si>
  <si>
    <t>Г2-М18</t>
  </si>
  <si>
    <t>Г2-ЧФ1</t>
  </si>
  <si>
    <t>Г2-ЧФ2</t>
  </si>
  <si>
    <t>Г2-ЧФ3</t>
  </si>
  <si>
    <t>Г2-ЧФ4</t>
  </si>
  <si>
    <t>Г2-ПФ1</t>
  </si>
  <si>
    <t>Г2-ПФ2</t>
  </si>
  <si>
    <t>Г2-Бронза</t>
  </si>
  <si>
    <t>Г2-Фінал</t>
  </si>
  <si>
    <t>Г3-М1</t>
  </si>
  <si>
    <t>Матч 1</t>
  </si>
  <si>
    <t>Котліна В. / Ільїна Н.</t>
  </si>
  <si>
    <t>Папурова А. / Крівонос Г.</t>
  </si>
  <si>
    <t>Г3-М2</t>
  </si>
  <si>
    <t>Матч 2</t>
  </si>
  <si>
    <t>Концева Е. / Папурова А.</t>
  </si>
  <si>
    <t>Крівонос Г. / Катеринич І.</t>
  </si>
  <si>
    <t>Г3-М3</t>
  </si>
  <si>
    <t>Матч 3</t>
  </si>
  <si>
    <t>Котліна В. / Катеринич І.</t>
  </si>
  <si>
    <t>Концева Е. / Ільїна Н.</t>
  </si>
  <si>
    <t>Г3-М4</t>
  </si>
  <si>
    <t>Матч 4</t>
  </si>
  <si>
    <t>Котліна В. / Папурова А.</t>
  </si>
  <si>
    <t>Концева Е. / Крівонос Г.</t>
  </si>
  <si>
    <t>Г3-М5</t>
  </si>
  <si>
    <t>Матч 5</t>
  </si>
  <si>
    <t>Котліна В. / Крівонос Г.</t>
  </si>
  <si>
    <t>Катеринич І. / Ільїна Н.</t>
  </si>
  <si>
    <t>Г3-М6</t>
  </si>
  <si>
    <t>Матч 6</t>
  </si>
  <si>
    <t>Концева Е. / Катеринич І.</t>
  </si>
  <si>
    <t>Папурова А. / Ільїна Н.</t>
  </si>
  <si>
    <t>RegID</t>
  </si>
  <si>
    <t>RegTime</t>
  </si>
  <si>
    <t>Player</t>
  </si>
  <si>
    <t>Category</t>
  </si>
  <si>
    <t>Source</t>
  </si>
  <si>
    <t>RegDate</t>
  </si>
  <si>
    <t>RegHour</t>
  </si>
  <si>
    <t>Рябошапко Арсен</t>
  </si>
  <si>
    <t>Олейник Юрій Валерійович</t>
  </si>
  <si>
    <t>Кутовой Антон</t>
  </si>
  <si>
    <t>Куліков Євген Олександрович</t>
  </si>
  <si>
    <t>Барбінягра Олександр Іванович</t>
  </si>
  <si>
    <t>Лапшинський Олександр Анатолійович</t>
  </si>
  <si>
    <t>Лещенко Валентин Валерійович</t>
  </si>
  <si>
    <t>Москалюк Вадим Васильович</t>
  </si>
  <si>
    <t>Кухаренко Олександр</t>
  </si>
  <si>
    <t>Васильєв Олексій Михайлович</t>
  </si>
  <si>
    <t>Бичков Олег Володимирович</t>
  </si>
  <si>
    <t>Пархоменко Максим Миколайович</t>
  </si>
  <si>
    <t>Довгань Олександр</t>
  </si>
  <si>
    <t>Катеринич Олександр Олександрович</t>
  </si>
  <si>
    <t>Зімін Михайло Володимирович</t>
  </si>
  <si>
    <t>Папуров Григорій Георгійович</t>
  </si>
  <si>
    <t>Концевой Сергій Миколайович</t>
  </si>
  <si>
    <t>Парфенюк Сергій Олександрович</t>
  </si>
  <si>
    <t>Пазиніч Сергій Анатолійович</t>
  </si>
  <si>
    <t>Делігіоз Андрій Георгійович</t>
  </si>
  <si>
    <t>Цап Олег</t>
  </si>
  <si>
    <t>Фещук Данило Олександрович</t>
  </si>
  <si>
    <t>Гиряк Роман Михайлович</t>
  </si>
  <si>
    <t>Тарарака Олексій Борисович</t>
  </si>
  <si>
    <t>Татаров Руслан Сергійович</t>
  </si>
  <si>
    <t>Орєшин Микола Семенович</t>
  </si>
  <si>
    <t>Грибонос Олександр Володиморович</t>
  </si>
  <si>
    <t>Горковець Андрій Георгійович</t>
  </si>
  <si>
    <t>Толкачов Сергій Вікторович</t>
  </si>
  <si>
    <t>Трач Ігор Іванович</t>
  </si>
  <si>
    <t>Дучєв Максим Палович</t>
  </si>
  <si>
    <t>Салабай Олександр</t>
  </si>
  <si>
    <t>Шульга Андрей</t>
  </si>
  <si>
    <t>Прокопович Сергій Михайлович</t>
  </si>
  <si>
    <t>Кравцов Олександр Сергійович</t>
  </si>
  <si>
    <t>Кривонос Андрій Миколайович</t>
  </si>
  <si>
    <t>Мазур Володімір</t>
  </si>
  <si>
    <t>Сторожук Микола Миколайович</t>
  </si>
  <si>
    <t>Нестерчук Вадим Миколайович</t>
  </si>
  <si>
    <t>Глухов Андрій Валерійович</t>
  </si>
  <si>
    <t>Змієвський Станіслав Валерійович</t>
  </si>
  <si>
    <t>Камінський Владислав Олесьович</t>
  </si>
  <si>
    <t>Дідик Сергій Станіславович</t>
  </si>
  <si>
    <t>Котліна Віра Валеріївна</t>
  </si>
  <si>
    <t>Концева Еліна Миколаївна</t>
  </si>
  <si>
    <t>Папурова Антоніна Петрівна</t>
  </si>
  <si>
    <t>Крівонос Галина</t>
  </si>
  <si>
    <t>Катеринич Ірина Вікторівна</t>
  </si>
  <si>
    <t>Ільїна Наталія Василівна</t>
  </si>
  <si>
    <t>Міні-проєкт Power Query + Power Pivot (DAX)</t>
  </si>
  <si>
    <t>Крок 0. Підготовка</t>
  </si>
  <si>
    <t>Таблиці вже оформлені як Excel Tables: Dim_Players, Fact_Matches, Dim_Teams.</t>
  </si>
  <si>
    <t>Справжні PivotTable створюються в Excel (Insert - PivotTable - Use this workbook's Data Model). Аркуші Pivot_* містять той самий результат у вигляді формул.</t>
  </si>
  <si>
    <t>Крок 1. Power Query: qPlayers (Data - From Table/Range, потім Advanced Editor)</t>
  </si>
  <si>
    <t>let</t>
  </si>
  <si>
    <t xml:space="preserve">    Source = Excel.CurrentWorkbook(){[Name="Dim_Players"]}[Content],</t>
  </si>
  <si>
    <t xml:space="preserve">    Typed = Table.TransformColumnTypes(Source, {{"RegID", Int64.Type}, {"RegTime", type datetime}}),</t>
  </si>
  <si>
    <t xml:space="preserve">    NoCalc = Table.RemoveColumns(Typed, {"RegDate", "RegHour"}),</t>
  </si>
  <si>
    <t xml:space="preserve">    Day = Table.AddColumn(NoCalc, "RegDay", each DateTime.Date([RegTime]), type date),</t>
  </si>
  <si>
    <t xml:space="preserve">    Hour = Table.AddColumn(Day, "Hour", each if [RegTime] = null then null else Time.Hour(DateTime.Time([RegTime])), Int64.Type)</t>
  </si>
  <si>
    <t>in</t>
  </si>
  <si>
    <t xml:space="preserve">    Hour</t>
  </si>
  <si>
    <t>Крок 2. Power Query: qMatches</t>
  </si>
  <si>
    <t xml:space="preserve">    Source = Excel.CurrentWorkbook(){[Name="Fact_Matches"]}[Content],</t>
  </si>
  <si>
    <t xml:space="preserve">    Typed = Table.TransformColumnTypes(Source, {{"Score1", Int64.Type}, {"Score2", Int64.Type}}),</t>
  </si>
  <si>
    <t xml:space="preserve">    NoCalc = Table.RemoveColumns(Typed, {"Winner", "Margin", "Total"}),</t>
  </si>
  <si>
    <t xml:space="preserve">    Margin = Table.AddColumn(NoCalc, "Margin", each Number.Abs([Score1] - [Score2]), Int64.Type),</t>
  </si>
  <si>
    <t xml:space="preserve">    Total = Table.AddColumn(Margin, "Total", each [Score1] + [Score2], Int64.Type)</t>
  </si>
  <si>
    <t xml:space="preserve">    Total</t>
  </si>
  <si>
    <t>Крок 3. Power Query: qTeamGames (unpivot: 2 рядки на матч, для статистики команд)</t>
  </si>
  <si>
    <t xml:space="preserve">    A = Table.RenameColumns(Table.SelectColumns(Source, {"MatchID","Tournament","Stage","Team1","Score1","Score2"}),</t>
  </si>
  <si>
    <t xml:space="preserve">            {{"Team1","Team"},{"Score1","PointsFor"},{"Score2","PointsAgainst"}}),</t>
  </si>
  <si>
    <t xml:space="preserve">    B = Table.RenameColumns(Table.SelectColumns(Source, {"MatchID","Tournament","Stage","Team2","Score2","Score1"}),</t>
  </si>
  <si>
    <t xml:space="preserve">            {{"Team2","Team"},{"Score2","PointsFor"},{"Score1","PointsAgainst"}}),</t>
  </si>
  <si>
    <t xml:space="preserve">    Combined = Table.Combine({A, B}),</t>
  </si>
  <si>
    <t xml:space="preserve">    Win = Table.AddColumn(Combined, "Win", each if [PointsFor] &gt; [PointsAgainst] then 1 else 0, Int64.Type)</t>
  </si>
  <si>
    <t xml:space="preserve">    Win</t>
  </si>
  <si>
    <t>Крок 4. Power Query: Calendar</t>
  </si>
  <si>
    <t xml:space="preserve">    Dates = List.Dates(#date(2026,9,21), 15, #duration(1,0,0,0)),</t>
  </si>
  <si>
    <t xml:space="preserve">    T = Table.FromList(Dates, Splitter.SplitByNothing(), {"Date"}),</t>
  </si>
  <si>
    <t xml:space="preserve">    Typed = Table.TransformColumnTypes(T, {{"Date", type date}})</t>
  </si>
  <si>
    <t xml:space="preserve">    Typed</t>
  </si>
  <si>
    <t>Крок 5. Power Pivot: зв'язки (Data Model, Diagram View)</t>
  </si>
  <si>
    <t>Calendar[Date] 1:* qPlayers[RegDay]</t>
  </si>
  <si>
    <t>Dim_Teams[Team] 1:* qTeamGames[Team]</t>
  </si>
  <si>
    <t>(за потреби) Dim_Teams[Tournament] і qMatches[Tournament] через окрему таблицю турнірів</t>
  </si>
  <si>
    <t>Крок 6. Power Pivot: міри DAX</t>
  </si>
  <si>
    <t>Players = COUNTROWS(qPlayers)</t>
  </si>
  <si>
    <t>Registrations = CALCULATE(COUNTROWS(qPlayers), qPlayers[Source] = "Форма реєстрації")</t>
  </si>
  <si>
    <t>Registrations Cumulative = CALCULATE([Registrations], FILTER(ALL('Calendar'[Date]), 'Calendar'[Date] &lt;= MAX('Calendar'[Date])))</t>
  </si>
  <si>
    <t>Matches = COUNTROWS(qMatches)</t>
  </si>
  <si>
    <t>Avg Margin = AVERAGE(qMatches[Margin])</t>
  </si>
  <si>
    <t>Close Games % = DIVIDE(CALCULATE(COUNTROWS(qMatches), qMatches[Margin] &lt;= 3), [Matches])</t>
  </si>
  <si>
    <t>Shutouts = CALCULATE(COUNTROWS(qMatches), FILTER(qMatches, qMatches[Score1] = 0 || qMatches[Score2] = 0))</t>
  </si>
  <si>
    <t>Team Games = COUNTROWS(qTeamGames)</t>
  </si>
  <si>
    <t>Team Wins = SUM(qTeamGames[Win])</t>
  </si>
  <si>
    <t>Win % = DIVIDE([Team Wins], [Team Games])</t>
  </si>
  <si>
    <t>Points For = SUM(qTeamGames[PointsFor])</t>
  </si>
  <si>
    <t>Points Against = SUM(qTeamGames[PointsAgainst])</t>
  </si>
  <si>
    <t>Point Diff = [Points For] - [Points Against]</t>
  </si>
  <si>
    <t>Крок 7. Звіти (PivotTable / Power BI)</t>
  </si>
  <si>
    <t>Реєстрації за днями: Calendar[Date] у рядки, мірами Registrations і Registrations Cumulative.</t>
  </si>
  <si>
    <t>Категорії: qPlayers[Category] у рядки, qPlayers[Tournament] у стовпці, Players у значення.</t>
  </si>
  <si>
    <t>Конкурентність: qMatches[Stage] у рядки, мірами Avg Margin, Close Games %, Shutouts.</t>
  </si>
  <si>
    <t>Команди: Dim_Teams[Team] у рядки, мірами Win %, Point Diff; зріз за Tournament.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</si>
</sst>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.mm"/>
    <numFmt numFmtId="166" formatCode="dd\.mm\.yyyy\ hh:mm"/>
    <numFmt numFmtId="167" formatCode="dd\.mm\.yyyy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595959"/>
      <name val="Arial"/>
      <charset val="1"/>
    </font>
    <font>
      <sz val="9"/>
      <color rgb="FF595959"/>
      <name val="Arial"/>
      <charset val="1"/>
    </font>
    <font>
      <b/>
      <sz val="18"/>
      <color rgb="FF1F3864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Consolas"/>
      <charset val="1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7" fillId="3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/>
    <xf numFmtId="0" fontId="6" fillId="0" borderId="1" xfId="0" applyFont="1" applyBorder="1"/>
    <xf numFmtId="0" fontId="8" fillId="4" borderId="1" xfId="0" applyFont="1" applyFill="1" applyBorder="1"/>
    <xf numFmtId="0" fontId="6" fillId="4" borderId="1" xfId="0" applyFont="1" applyFill="1" applyBorder="1"/>
    <xf numFmtId="0" fontId="8" fillId="0" borderId="1" xfId="0" applyFont="1" applyBorder="1"/>
    <xf numFmtId="9" fontId="6" fillId="0" borderId="1" xfId="0" applyNumberFormat="1" applyFont="1" applyBorder="1"/>
    <xf numFmtId="9" fontId="8" fillId="4" borderId="1" xfId="0" applyNumberFormat="1" applyFont="1" applyFill="1" applyBorder="1"/>
    <xf numFmtId="164" fontId="6" fillId="0" borderId="1" xfId="0" applyNumberFormat="1" applyFont="1" applyBorder="1"/>
    <xf numFmtId="164" fontId="8" fillId="4" borderId="1" xfId="0" applyNumberFormat="1" applyFont="1" applyFill="1" applyBorder="1"/>
    <xf numFmtId="0" fontId="7" fillId="0" borderId="0" xfId="0" applyFont="1"/>
    <xf numFmtId="0" fontId="6" fillId="0" borderId="0" xfId="0" applyFont="1"/>
    <xf numFmtId="9" fontId="6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9F9F9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uk-UA" sz="1800" b="1" strike="noStrike" spc="-1">
                <a:solidFill>
                  <a:srgbClr val="000000"/>
                </a:solidFill>
                <a:latin typeface="Calibri"/>
              </a:rPr>
              <a:t>Реєстрації за днями (стовпці) та накопичувально (лінія)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Pivot_Реєстрація!$B$5</c:f>
              <c:strCache>
                <c:ptCount val="1"/>
                <c:pt idx="0">
                  <c:v>Реєстрацій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Pivot_Реєстрація!$A$6:$A$20</c:f>
              <c:numCache>
                <c:formatCode>dd\.mm</c:formatCode>
                <c:ptCount val="15"/>
                <c:pt idx="0">
                  <c:v>46286</c:v>
                </c:pt>
                <c:pt idx="1">
                  <c:v>46287</c:v>
                </c:pt>
                <c:pt idx="2">
                  <c:v>46288</c:v>
                </c:pt>
                <c:pt idx="3">
                  <c:v>46289</c:v>
                </c:pt>
                <c:pt idx="4">
                  <c:v>46290</c:v>
                </c:pt>
                <c:pt idx="5">
                  <c:v>46291</c:v>
                </c:pt>
                <c:pt idx="6">
                  <c:v>46292</c:v>
                </c:pt>
                <c:pt idx="7">
                  <c:v>46293</c:v>
                </c:pt>
                <c:pt idx="8">
                  <c:v>46294</c:v>
                </c:pt>
                <c:pt idx="9">
                  <c:v>46295</c:v>
                </c:pt>
                <c:pt idx="10">
                  <c:v>46296</c:v>
                </c:pt>
                <c:pt idx="11">
                  <c:v>46297</c:v>
                </c:pt>
                <c:pt idx="12">
                  <c:v>46298</c:v>
                </c:pt>
                <c:pt idx="13">
                  <c:v>46299</c:v>
                </c:pt>
                <c:pt idx="14">
                  <c:v>46300</c:v>
                </c:pt>
              </c:numCache>
            </c:numRef>
          </c:cat>
          <c:val>
            <c:numRef>
              <c:f>Pivot_Реєстрація!$B$6:$B$20</c:f>
              <c:numCache>
                <c:formatCode>General</c:formatCode>
                <c:ptCount val="15"/>
                <c:pt idx="0">
                  <c:v>10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1</c:v>
                </c:pt>
                <c:pt idx="13">
                  <c:v>5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6-4395-A9B8-1AD80D3FE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055015"/>
        <c:axId val="26963188"/>
      </c:barChart>
      <c:lineChart>
        <c:grouping val="standard"/>
        <c:varyColors val="0"/>
        <c:ser>
          <c:idx val="1"/>
          <c:order val="1"/>
          <c:tx>
            <c:strRef>
              <c:f>Pivot_Реєстрація!$C$5</c:f>
              <c:strCache>
                <c:ptCount val="1"/>
                <c:pt idx="0">
                  <c:v>Накопичувально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Pivot_Реєстрація!$A$6:$A$20</c:f>
              <c:numCache>
                <c:formatCode>dd\.mm</c:formatCode>
                <c:ptCount val="15"/>
                <c:pt idx="0">
                  <c:v>46286</c:v>
                </c:pt>
                <c:pt idx="1">
                  <c:v>46287</c:v>
                </c:pt>
                <c:pt idx="2">
                  <c:v>46288</c:v>
                </c:pt>
                <c:pt idx="3">
                  <c:v>46289</c:v>
                </c:pt>
                <c:pt idx="4">
                  <c:v>46290</c:v>
                </c:pt>
                <c:pt idx="5">
                  <c:v>46291</c:v>
                </c:pt>
                <c:pt idx="6">
                  <c:v>46292</c:v>
                </c:pt>
                <c:pt idx="7">
                  <c:v>46293</c:v>
                </c:pt>
                <c:pt idx="8">
                  <c:v>46294</c:v>
                </c:pt>
                <c:pt idx="9">
                  <c:v>46295</c:v>
                </c:pt>
                <c:pt idx="10">
                  <c:v>46296</c:v>
                </c:pt>
                <c:pt idx="11">
                  <c:v>46297</c:v>
                </c:pt>
                <c:pt idx="12">
                  <c:v>46298</c:v>
                </c:pt>
                <c:pt idx="13">
                  <c:v>46299</c:v>
                </c:pt>
                <c:pt idx="14">
                  <c:v>46300</c:v>
                </c:pt>
              </c:numCache>
            </c:numRef>
          </c:cat>
          <c:val>
            <c:numRef>
              <c:f>Pivot_Реєстрація!$C$6:$C$20</c:f>
              <c:numCache>
                <c:formatCode>General</c:formatCode>
                <c:ptCount val="15"/>
                <c:pt idx="0">
                  <c:v>10</c:v>
                </c:pt>
                <c:pt idx="1">
                  <c:v>12</c:v>
                </c:pt>
                <c:pt idx="2">
                  <c:v>18</c:v>
                </c:pt>
                <c:pt idx="3">
                  <c:v>20</c:v>
                </c:pt>
                <c:pt idx="4">
                  <c:v>20</c:v>
                </c:pt>
                <c:pt idx="5">
                  <c:v>24</c:v>
                </c:pt>
                <c:pt idx="6">
                  <c:v>27</c:v>
                </c:pt>
                <c:pt idx="7">
                  <c:v>27</c:v>
                </c:pt>
                <c:pt idx="8">
                  <c:v>29</c:v>
                </c:pt>
                <c:pt idx="9">
                  <c:v>29</c:v>
                </c:pt>
                <c:pt idx="10">
                  <c:v>32</c:v>
                </c:pt>
                <c:pt idx="11">
                  <c:v>32</c:v>
                </c:pt>
                <c:pt idx="12">
                  <c:v>33</c:v>
                </c:pt>
                <c:pt idx="13">
                  <c:v>38</c:v>
                </c:pt>
                <c:pt idx="14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B6-4395-A9B8-1AD80D3FE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973360"/>
        <c:axId val="22336621"/>
      </c:lineChart>
      <c:dateAx>
        <c:axId val="99055015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26963188"/>
        <c:crosses val="autoZero"/>
        <c:auto val="1"/>
        <c:lblOffset val="100"/>
        <c:baseTimeUnit val="days"/>
      </c:dateAx>
      <c:valAx>
        <c:axId val="269631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uk-UA" sz="1000" b="1" strike="noStrike" spc="-1">
                    <a:solidFill>
                      <a:srgbClr val="000000"/>
                    </a:solidFill>
                    <a:latin typeface="Calibri"/>
                  </a:rPr>
                  <a:t>За день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99055015"/>
        <c:crosses val="autoZero"/>
        <c:crossBetween val="between"/>
      </c:valAx>
      <c:dateAx>
        <c:axId val="90973360"/>
        <c:scaling>
          <c:orientation val="minMax"/>
        </c:scaling>
        <c:delete val="0"/>
        <c:axPos val="b"/>
        <c:numFmt formatCode="dd\.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22336621"/>
        <c:crosses val="autoZero"/>
        <c:auto val="1"/>
        <c:lblOffset val="100"/>
        <c:baseTimeUnit val="days"/>
      </c:dateAx>
      <c:valAx>
        <c:axId val="22336621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uk-UA" sz="1000" b="1" strike="noStrike" spc="-1">
                    <a:solidFill>
                      <a:srgbClr val="000000"/>
                    </a:solidFill>
                    <a:latin typeface="Calibri"/>
                  </a:rPr>
                  <a:t>Накопичувально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9097336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uk-U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uk-UA" sz="1800" b="1" strike="noStrike" spc="-1">
                <a:solidFill>
                  <a:srgbClr val="000000"/>
                </a:solidFill>
                <a:latin typeface="Calibri"/>
              </a:rPr>
              <a:t>Склад учасників за категоріями та групами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Pivot_Реєстрація!$B$25</c:f>
              <c:strCache>
                <c:ptCount val="1"/>
                <c:pt idx="0">
                  <c:v>Група 1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Pivot_Реєстрація!$A$26:$A$31</c:f>
              <c:strCache>
                <c:ptCount val="6"/>
                <c:pt idx="0">
                  <c:v>Ветерани з невидимими травмами</c:v>
                </c:pt>
                <c:pt idx="1">
                  <c:v>Ветерани на кріслах колісних</c:v>
                </c:pt>
                <c:pt idx="2">
                  <c:v>Ветерани на протезах</c:v>
                </c:pt>
                <c:pt idx="3">
                  <c:v>Ветерани без поранень</c:v>
                </c:pt>
                <c:pt idx="4">
                  <c:v>Члени родин ветеранів</c:v>
                </c:pt>
                <c:pt idx="5">
                  <c:v>Не вказано</c:v>
                </c:pt>
              </c:strCache>
            </c:strRef>
          </c:cat>
          <c:val>
            <c:numRef>
              <c:f>Pivot_Реєстрація!$B$26:$B$31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0-412C-8735-402D8EEB2F69}"/>
            </c:ext>
          </c:extLst>
        </c:ser>
        <c:ser>
          <c:idx val="1"/>
          <c:order val="1"/>
          <c:tx>
            <c:strRef>
              <c:f>Pivot_Реєстрація!$C$25</c:f>
              <c:strCache>
                <c:ptCount val="1"/>
                <c:pt idx="0">
                  <c:v>Група 2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Pivot_Реєстрація!$A$26:$A$31</c:f>
              <c:strCache>
                <c:ptCount val="6"/>
                <c:pt idx="0">
                  <c:v>Ветерани з невидимими травмами</c:v>
                </c:pt>
                <c:pt idx="1">
                  <c:v>Ветерани на кріслах колісних</c:v>
                </c:pt>
                <c:pt idx="2">
                  <c:v>Ветерани на протезах</c:v>
                </c:pt>
                <c:pt idx="3">
                  <c:v>Ветерани без поранень</c:v>
                </c:pt>
                <c:pt idx="4">
                  <c:v>Члени родин ветеранів</c:v>
                </c:pt>
                <c:pt idx="5">
                  <c:v>Не вказано</c:v>
                </c:pt>
              </c:strCache>
            </c:strRef>
          </c:cat>
          <c:val>
            <c:numRef>
              <c:f>Pivot_Реєстрація!$C$26:$C$31</c:f>
              <c:numCache>
                <c:formatCode>General</c:formatCode>
                <c:ptCount val="6"/>
                <c:pt idx="0">
                  <c:v>19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0-412C-8735-402D8EEB2F69}"/>
            </c:ext>
          </c:extLst>
        </c:ser>
        <c:ser>
          <c:idx val="2"/>
          <c:order val="2"/>
          <c:tx>
            <c:strRef>
              <c:f>Pivot_Реєстрація!$D$25</c:f>
              <c:strCache>
                <c:ptCount val="1"/>
                <c:pt idx="0">
                  <c:v>Група 3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Pivot_Реєстрація!$A$26:$A$31</c:f>
              <c:strCache>
                <c:ptCount val="6"/>
                <c:pt idx="0">
                  <c:v>Ветерани з невидимими травмами</c:v>
                </c:pt>
                <c:pt idx="1">
                  <c:v>Ветерани на кріслах колісних</c:v>
                </c:pt>
                <c:pt idx="2">
                  <c:v>Ветерани на протезах</c:v>
                </c:pt>
                <c:pt idx="3">
                  <c:v>Ветерани без поранень</c:v>
                </c:pt>
                <c:pt idx="4">
                  <c:v>Члени родин ветеранів</c:v>
                </c:pt>
                <c:pt idx="5">
                  <c:v>Не вказано</c:v>
                </c:pt>
              </c:strCache>
            </c:strRef>
          </c:cat>
          <c:val>
            <c:numRef>
              <c:f>Pivot_Реєстрація!$D$26:$D$31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0-412C-8735-402D8EEB2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38600"/>
        <c:axId val="35289302"/>
      </c:barChart>
      <c:catAx>
        <c:axId val="14838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35289302"/>
        <c:crosses val="autoZero"/>
        <c:auto val="1"/>
        <c:lblAlgn val="ctr"/>
        <c:lblOffset val="100"/>
        <c:noMultiLvlLbl val="0"/>
      </c:catAx>
      <c:valAx>
        <c:axId val="35289302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148386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uk-U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uk-UA" sz="1800" b="1" strike="noStrike" spc="-1">
                <a:solidFill>
                  <a:srgbClr val="000000"/>
                </a:solidFill>
                <a:latin typeface="Calibri"/>
              </a:rPr>
              <a:t>Реєстрації за годинами доби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Pivot_Реєстрація!$B$37</c:f>
              <c:strCache>
                <c:ptCount val="1"/>
                <c:pt idx="0">
                  <c:v>Реєстрацій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Pivot_Реєстрація!$A$38:$A$55</c:f>
              <c:numCache>
                <c:formatCode>General</c:formatCode>
                <c:ptCount val="18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</c:numCache>
            </c:numRef>
          </c:cat>
          <c:val>
            <c:numRef>
              <c:f>Pivot_Реєстрація!$B$38:$B$55</c:f>
              <c:numCache>
                <c:formatCode>General</c:formatCode>
                <c:ptCount val="18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0</c:v>
                </c:pt>
                <c:pt idx="12">
                  <c:v>4</c:v>
                </c:pt>
                <c:pt idx="13">
                  <c:v>5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6-4F5B-AF46-F0699F006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83408"/>
        <c:axId val="86608691"/>
      </c:barChart>
      <c:catAx>
        <c:axId val="4168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86608691"/>
        <c:crosses val="autoZero"/>
        <c:auto val="1"/>
        <c:lblAlgn val="ctr"/>
        <c:lblOffset val="100"/>
        <c:noMultiLvlLbl val="0"/>
      </c:catAx>
      <c:valAx>
        <c:axId val="866086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416834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uk-UA" sz="1800" b="1" strike="noStrike" spc="-1">
                <a:solidFill>
                  <a:srgbClr val="000000"/>
                </a:solidFill>
                <a:latin typeface="Calibri"/>
              </a:rPr>
              <a:t>Середня різниця очок за матч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Pivot_Матчі!$E$5</c:f>
              <c:strCache>
                <c:ptCount val="1"/>
                <c:pt idx="0">
                  <c:v>Сер. різниця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uk-UA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Pivot_Матчі!$A$6:$A$10</c:f>
              <c:strCache>
                <c:ptCount val="5"/>
                <c:pt idx="0">
                  <c:v>Г1 групи</c:v>
                </c:pt>
                <c:pt idx="1">
                  <c:v>Г1 play-off</c:v>
                </c:pt>
                <c:pt idx="2">
                  <c:v>Г2 групи</c:v>
                </c:pt>
                <c:pt idx="3">
                  <c:v>Г2 play-off</c:v>
                </c:pt>
                <c:pt idx="4">
                  <c:v>Г3 американо</c:v>
                </c:pt>
              </c:strCache>
            </c:strRef>
          </c:cat>
          <c:val>
            <c:numRef>
              <c:f>Pivot_Матчі!$E$6:$E$10</c:f>
              <c:numCache>
                <c:formatCode>0.0</c:formatCode>
                <c:ptCount val="5"/>
                <c:pt idx="0">
                  <c:v>7.166666666666667</c:v>
                </c:pt>
                <c:pt idx="1">
                  <c:v>6.25</c:v>
                </c:pt>
                <c:pt idx="2">
                  <c:v>8.8333333333333339</c:v>
                </c:pt>
                <c:pt idx="3">
                  <c:v>5.375</c:v>
                </c:pt>
                <c:pt idx="4">
                  <c:v>8.3333333333333339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1-4366-8F4A-0F65849FA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01589"/>
        <c:axId val="94706578"/>
      </c:barChart>
      <c:catAx>
        <c:axId val="113015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94706578"/>
        <c:crosses val="autoZero"/>
        <c:auto val="1"/>
        <c:lblAlgn val="ctr"/>
        <c:lblOffset val="100"/>
        <c:noMultiLvlLbl val="0"/>
      </c:catAx>
      <c:valAx>
        <c:axId val="947065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113015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uk-UA" sz="1800" b="1" strike="noStrike" spc="-1">
                <a:solidFill>
                  <a:srgbClr val="000000"/>
                </a:solidFill>
                <a:latin typeface="Calibri"/>
              </a:rPr>
              <a:t>Скільки матчів закінчилось із різницею...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Pivot_Матчі!$D$15</c:f>
              <c:strCache>
                <c:ptCount val="1"/>
                <c:pt idx="0">
                  <c:v>Груповий етап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Pivot_Матчі!$A$16:$A$21</c:f>
              <c:strCache>
                <c:ptCount val="6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7-8</c:v>
                </c:pt>
                <c:pt idx="4">
                  <c:v>9-10</c:v>
                </c:pt>
                <c:pt idx="5">
                  <c:v>11 (суха)</c:v>
                </c:pt>
              </c:strCache>
            </c:strRef>
          </c:cat>
          <c:val>
            <c:numRef>
              <c:f>Pivot_Матчі!$D$16:$D$21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E-403D-9A0E-D839A1F6EAFE}"/>
            </c:ext>
          </c:extLst>
        </c:ser>
        <c:ser>
          <c:idx val="1"/>
          <c:order val="1"/>
          <c:tx>
            <c:strRef>
              <c:f>Pivot_Матчі!$E$15</c:f>
              <c:strCache>
                <c:ptCount val="1"/>
                <c:pt idx="0">
                  <c:v>Play-off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Pivot_Матчі!$A$16:$A$21</c:f>
              <c:strCache>
                <c:ptCount val="6"/>
                <c:pt idx="0">
                  <c:v>1-2</c:v>
                </c:pt>
                <c:pt idx="1">
                  <c:v>3-4</c:v>
                </c:pt>
                <c:pt idx="2">
                  <c:v>5-6</c:v>
                </c:pt>
                <c:pt idx="3">
                  <c:v>7-8</c:v>
                </c:pt>
                <c:pt idx="4">
                  <c:v>9-10</c:v>
                </c:pt>
                <c:pt idx="5">
                  <c:v>11 (суха)</c:v>
                </c:pt>
              </c:strCache>
            </c:strRef>
          </c:cat>
          <c:val>
            <c:numRef>
              <c:f>Pivot_Матчі!$E$16:$E$21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E-403D-9A0E-D839A1F6E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112721"/>
        <c:axId val="63456538"/>
      </c:barChart>
      <c:catAx>
        <c:axId val="411127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63456538"/>
        <c:crosses val="autoZero"/>
        <c:auto val="1"/>
        <c:lblAlgn val="ctr"/>
        <c:lblOffset val="100"/>
        <c:noMultiLvlLbl val="0"/>
      </c:catAx>
      <c:valAx>
        <c:axId val="634565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411127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uk-U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uk-UA" sz="1800" b="1" strike="noStrike" spc="-1">
                <a:solidFill>
                  <a:srgbClr val="000000"/>
                </a:solidFill>
                <a:latin typeface="Calibri"/>
              </a:rPr>
              <a:t>Американо: набрані та пропущені очки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Американо!$E$4</c:f>
              <c:strCache>
                <c:ptCount val="1"/>
                <c:pt idx="0">
                  <c:v>Очки (+)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Американо!$A$5:$A$10</c:f>
              <c:strCache>
                <c:ptCount val="6"/>
                <c:pt idx="0">
                  <c:v>Крівонос Г.</c:v>
                </c:pt>
                <c:pt idx="1">
                  <c:v>Катеринич І.</c:v>
                </c:pt>
                <c:pt idx="2">
                  <c:v>Концева Е.</c:v>
                </c:pt>
                <c:pt idx="3">
                  <c:v>Котліна В.</c:v>
                </c:pt>
                <c:pt idx="4">
                  <c:v>Папурова А.</c:v>
                </c:pt>
                <c:pt idx="5">
                  <c:v>Ільїна Н.</c:v>
                </c:pt>
              </c:strCache>
            </c:strRef>
          </c:cat>
          <c:val>
            <c:numRef>
              <c:f>Американо!$E$5:$E$10</c:f>
              <c:numCache>
                <c:formatCode>General</c:formatCode>
                <c:ptCount val="6"/>
                <c:pt idx="0">
                  <c:v>44</c:v>
                </c:pt>
                <c:pt idx="1">
                  <c:v>34</c:v>
                </c:pt>
                <c:pt idx="2">
                  <c:v>30</c:v>
                </c:pt>
                <c:pt idx="3">
                  <c:v>25</c:v>
                </c:pt>
                <c:pt idx="4">
                  <c:v>24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E-4485-8223-563F67A0282A}"/>
            </c:ext>
          </c:extLst>
        </c:ser>
        <c:ser>
          <c:idx val="1"/>
          <c:order val="1"/>
          <c:tx>
            <c:strRef>
              <c:f>Американо!$F$4</c:f>
              <c:strCache>
                <c:ptCount val="1"/>
                <c:pt idx="0">
                  <c:v>Очки (-)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Американо!$A$5:$A$10</c:f>
              <c:strCache>
                <c:ptCount val="6"/>
                <c:pt idx="0">
                  <c:v>Крівонос Г.</c:v>
                </c:pt>
                <c:pt idx="1">
                  <c:v>Катеринич І.</c:v>
                </c:pt>
                <c:pt idx="2">
                  <c:v>Концева Е.</c:v>
                </c:pt>
                <c:pt idx="3">
                  <c:v>Котліна В.</c:v>
                </c:pt>
                <c:pt idx="4">
                  <c:v>Папурова А.</c:v>
                </c:pt>
                <c:pt idx="5">
                  <c:v>Ільїна Н.</c:v>
                </c:pt>
              </c:strCache>
            </c:strRef>
          </c:cat>
          <c:val>
            <c:numRef>
              <c:f>Американо!$F$5:$F$10</c:f>
              <c:numCache>
                <c:formatCode>General</c:formatCode>
                <c:ptCount val="6"/>
                <c:pt idx="0">
                  <c:v>10</c:v>
                </c:pt>
                <c:pt idx="1">
                  <c:v>23</c:v>
                </c:pt>
                <c:pt idx="2">
                  <c:v>29</c:v>
                </c:pt>
                <c:pt idx="3">
                  <c:v>25</c:v>
                </c:pt>
                <c:pt idx="4">
                  <c:v>33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AE-4485-8223-563F67A02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88726"/>
        <c:axId val="71171003"/>
      </c:barChart>
      <c:catAx>
        <c:axId val="917887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71171003"/>
        <c:crosses val="autoZero"/>
        <c:auto val="1"/>
        <c:lblAlgn val="ctr"/>
        <c:lblOffset val="100"/>
        <c:noMultiLvlLbl val="0"/>
      </c:catAx>
      <c:valAx>
        <c:axId val="711710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917887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uk-UA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uk-UA" sz="1800" b="1" strike="noStrike" spc="-1">
                <a:solidFill>
                  <a:srgbClr val="000000"/>
                </a:solidFill>
                <a:latin typeface="Calibri"/>
              </a:rPr>
              <a:t>Американо: різниця очок (±)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895578334813253E-2"/>
          <c:y val="0.18709393832437873"/>
          <c:w val="0.89388254562911229"/>
          <c:h val="0.779276638299541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Американо!$G$4</c:f>
              <c:strCache>
                <c:ptCount val="1"/>
                <c:pt idx="0">
                  <c:v>Різниця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uk-UA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Американо!$A$5:$A$10</c:f>
              <c:strCache>
                <c:ptCount val="6"/>
                <c:pt idx="0">
                  <c:v>Крівонос Г.</c:v>
                </c:pt>
                <c:pt idx="1">
                  <c:v>Катеринич І.</c:v>
                </c:pt>
                <c:pt idx="2">
                  <c:v>Концева Е.</c:v>
                </c:pt>
                <c:pt idx="3">
                  <c:v>Котліна В.</c:v>
                </c:pt>
                <c:pt idx="4">
                  <c:v>Папурова А.</c:v>
                </c:pt>
                <c:pt idx="5">
                  <c:v>Ільїна Н.</c:v>
                </c:pt>
              </c:strCache>
            </c:strRef>
          </c:cat>
          <c:val>
            <c:numRef>
              <c:f>Американо!$G$5:$G$10</c:f>
              <c:numCache>
                <c:formatCode>General</c:formatCode>
                <c:ptCount val="6"/>
                <c:pt idx="0">
                  <c:v>34</c:v>
                </c:pt>
                <c:pt idx="1">
                  <c:v>11</c:v>
                </c:pt>
                <c:pt idx="2">
                  <c:v>1</c:v>
                </c:pt>
                <c:pt idx="3">
                  <c:v>0</c:v>
                </c:pt>
                <c:pt idx="4">
                  <c:v>-9</c:v>
                </c:pt>
                <c:pt idx="5">
                  <c:v>-37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0-4C20-8C80-C070C1F5A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122723"/>
        <c:axId val="86330070"/>
      </c:barChart>
      <c:catAx>
        <c:axId val="71122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86330070"/>
        <c:crosses val="autoZero"/>
        <c:auto val="1"/>
        <c:lblAlgn val="ctr"/>
        <c:lblOffset val="100"/>
        <c:noMultiLvlLbl val="0"/>
      </c:catAx>
      <c:valAx>
        <c:axId val="86330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711227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uk-UA" sz="1800" b="1" strike="noStrike" spc="-1">
                <a:solidFill>
                  <a:srgbClr val="000000"/>
                </a:solidFill>
                <a:latin typeface="Calibri"/>
              </a:rPr>
              <a:t>Різниця очок (±) по командах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6345381526104408E-2"/>
          <c:y val="0.1317781950988236"/>
          <c:w val="0.95644444444444443"/>
          <c:h val="0.842349134737902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Dim_Teams!$K$1</c:f>
              <c:strCache>
                <c:ptCount val="1"/>
                <c:pt idx="0">
                  <c:v>Diff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uk-UA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Dim_Teams!$C$2:$C$23</c:f>
              <c:strCache>
                <c:ptCount val="22"/>
                <c:pt idx="0">
                  <c:v>Г2-Т2 Салабай / Шульга</c:v>
                </c:pt>
                <c:pt idx="1">
                  <c:v>Г1-Т1 Рябошапко / Олейник</c:v>
                </c:pt>
                <c:pt idx="2">
                  <c:v>Г2-Т1 Сторожук / Нестерчук</c:v>
                </c:pt>
                <c:pt idx="3">
                  <c:v>Г2-Т4 Тарарака / Татаров</c:v>
                </c:pt>
                <c:pt idx="4">
                  <c:v>Г1-Т6 Довгань / Катеринич О.</c:v>
                </c:pt>
                <c:pt idx="5">
                  <c:v>Г2-Т3 Концевой / Парфенюк</c:v>
                </c:pt>
                <c:pt idx="6">
                  <c:v>Г2-Т7 Орєшин / Грибонос</c:v>
                </c:pt>
                <c:pt idx="7">
                  <c:v>Г2-Т13 Фещук / Гиряк</c:v>
                </c:pt>
                <c:pt idx="8">
                  <c:v>Г1-Т5 Бичков / Пархоменко</c:v>
                </c:pt>
                <c:pt idx="9">
                  <c:v>Г1-Т8 Зімін / Папуров</c:v>
                </c:pt>
                <c:pt idx="10">
                  <c:v>Г1-Т4 Барбінягра / Лапшинський</c:v>
                </c:pt>
                <c:pt idx="11">
                  <c:v>Г2-Т5 Прокопович / Кравцов</c:v>
                </c:pt>
                <c:pt idx="12">
                  <c:v>Г2-Т14 Трач / Дучєв</c:v>
                </c:pt>
                <c:pt idx="13">
                  <c:v>Г2-Т12 Делігіоз / Цап</c:v>
                </c:pt>
                <c:pt idx="14">
                  <c:v>Г2-Т6 Глухов / Змієвський</c:v>
                </c:pt>
                <c:pt idx="15">
                  <c:v>Г2-Т8 Камінський / Дідик</c:v>
                </c:pt>
                <c:pt idx="16">
                  <c:v>Г1-Т3 Кутовой / Куліков</c:v>
                </c:pt>
                <c:pt idx="17">
                  <c:v>Г2-Т10 Кривонос / Мазур</c:v>
                </c:pt>
                <c:pt idx="18">
                  <c:v>Г1-Т2 Кухаренко / Васильєв</c:v>
                </c:pt>
                <c:pt idx="19">
                  <c:v>Г1-Т7 Лещенко / Москалюк</c:v>
                </c:pt>
                <c:pt idx="20">
                  <c:v>Г2-Т9 Горковець / Толкачов</c:v>
                </c:pt>
                <c:pt idx="21">
                  <c:v>Г2-Т11 Пазиніч / Олейник</c:v>
                </c:pt>
              </c:strCache>
            </c:strRef>
          </c:cat>
          <c:val>
            <c:numRef>
              <c:f>Dim_Teams!$K$2:$K$23</c:f>
              <c:numCache>
                <c:formatCode>General</c:formatCode>
                <c:ptCount val="22"/>
                <c:pt idx="0">
                  <c:v>33</c:v>
                </c:pt>
                <c:pt idx="1">
                  <c:v>32</c:v>
                </c:pt>
                <c:pt idx="2">
                  <c:v>27</c:v>
                </c:pt>
                <c:pt idx="3">
                  <c:v>25</c:v>
                </c:pt>
                <c:pt idx="4">
                  <c:v>24</c:v>
                </c:pt>
                <c:pt idx="5">
                  <c:v>20</c:v>
                </c:pt>
                <c:pt idx="6">
                  <c:v>17</c:v>
                </c:pt>
                <c:pt idx="7">
                  <c:v>9</c:v>
                </c:pt>
                <c:pt idx="8">
                  <c:v>6</c:v>
                </c:pt>
                <c:pt idx="9">
                  <c:v>6</c:v>
                </c:pt>
                <c:pt idx="10">
                  <c:v>-1</c:v>
                </c:pt>
                <c:pt idx="11">
                  <c:v>-6</c:v>
                </c:pt>
                <c:pt idx="12">
                  <c:v>-7</c:v>
                </c:pt>
                <c:pt idx="13">
                  <c:v>-8</c:v>
                </c:pt>
                <c:pt idx="14">
                  <c:v>-9</c:v>
                </c:pt>
                <c:pt idx="15">
                  <c:v>-15</c:v>
                </c:pt>
                <c:pt idx="16">
                  <c:v>-16</c:v>
                </c:pt>
                <c:pt idx="17">
                  <c:v>-20</c:v>
                </c:pt>
                <c:pt idx="18">
                  <c:v>-24</c:v>
                </c:pt>
                <c:pt idx="19">
                  <c:v>-27</c:v>
                </c:pt>
                <c:pt idx="20">
                  <c:v>-33</c:v>
                </c:pt>
                <c:pt idx="21">
                  <c:v>-33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0-41F2-A247-772BECE6D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35334"/>
        <c:axId val="36721580"/>
      </c:barChart>
      <c:catAx>
        <c:axId val="2453533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36721580"/>
        <c:crosses val="autoZero"/>
        <c:auto val="1"/>
        <c:lblAlgn val="ctr"/>
        <c:lblOffset val="100"/>
        <c:noMultiLvlLbl val="0"/>
      </c:catAx>
      <c:valAx>
        <c:axId val="36721580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uk-UA"/>
          </a:p>
        </c:txPr>
        <c:crossAx val="245353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131040</xdr:rowOff>
    </xdr:from>
    <xdr:to>
      <xdr:col>16</xdr:col>
      <xdr:colOff>450000</xdr:colOff>
      <xdr:row>18</xdr:row>
      <xdr:rowOff>142560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22</xdr:row>
      <xdr:rowOff>131040</xdr:rowOff>
    </xdr:from>
    <xdr:to>
      <xdr:col>17</xdr:col>
      <xdr:colOff>4680</xdr:colOff>
      <xdr:row>38</xdr:row>
      <xdr:rowOff>142560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41</xdr:row>
      <xdr:rowOff>130680</xdr:rowOff>
    </xdr:from>
    <xdr:to>
      <xdr:col>17</xdr:col>
      <xdr:colOff>4680</xdr:colOff>
      <xdr:row>57</xdr:row>
      <xdr:rowOff>142560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131040</xdr:rowOff>
    </xdr:from>
    <xdr:to>
      <xdr:col>18</xdr:col>
      <xdr:colOff>507600</xdr:colOff>
      <xdr:row>17</xdr:row>
      <xdr:rowOff>153000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130680</xdr:rowOff>
    </xdr:from>
    <xdr:to>
      <xdr:col>18</xdr:col>
      <xdr:colOff>507600</xdr:colOff>
      <xdr:row>26</xdr:row>
      <xdr:rowOff>153000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130680</xdr:rowOff>
    </xdr:from>
    <xdr:to>
      <xdr:col>8</xdr:col>
      <xdr:colOff>339840</xdr:colOff>
      <xdr:row>27</xdr:row>
      <xdr:rowOff>142560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514350</xdr:colOff>
      <xdr:row>11</xdr:row>
      <xdr:rowOff>102105</xdr:rowOff>
    </xdr:from>
    <xdr:to>
      <xdr:col>18</xdr:col>
      <xdr:colOff>65790</xdr:colOff>
      <xdr:row>27</xdr:row>
      <xdr:rowOff>113985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581023</xdr:colOff>
      <xdr:row>1</xdr:row>
      <xdr:rowOff>0</xdr:rowOff>
    </xdr:from>
    <xdr:to>
      <xdr:col>49</xdr:col>
      <xdr:colOff>428625</xdr:colOff>
      <xdr:row>31</xdr:row>
      <xdr:rowOff>133350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im_Teams" displayName="Dim_Teams" ref="A1:M23" totalsRowShown="0">
  <autoFilter ref="A1:M23" xr:uid="{00000000-0009-0000-0100-000002000000}"/>
  <tableColumns count="13">
    <tableColumn id="1" xr3:uid="{00000000-0010-0000-0000-000001000000}" name="Tournament"/>
    <tableColumn id="2" xr3:uid="{00000000-0010-0000-0000-000002000000}" name="TeamNo"/>
    <tableColumn id="3" xr3:uid="{00000000-0010-0000-0000-000003000000}" name="Team"/>
    <tableColumn id="4" xr3:uid="{00000000-0010-0000-0000-000004000000}" name="Players"/>
    <tableColumn id="5" xr3:uid="{00000000-0010-0000-0000-000005000000}" name="Pool"/>
    <tableColumn id="6" xr3:uid="{00000000-0010-0000-0000-000006000000}" name="Games"/>
    <tableColumn id="7" xr3:uid="{00000000-0010-0000-0000-000007000000}" name="Wins"/>
    <tableColumn id="8" xr3:uid="{00000000-0010-0000-0000-000008000000}" name="Losses"/>
    <tableColumn id="9" xr3:uid="{00000000-0010-0000-0000-000009000000}" name="PointsFor"/>
    <tableColumn id="10" xr3:uid="{00000000-0010-0000-0000-00000A000000}" name="PointsAgainst"/>
    <tableColumn id="11" xr3:uid="{00000000-0010-0000-0000-00000B000000}" name="Diff"/>
    <tableColumn id="12" xr3:uid="{00000000-0010-0000-0000-00000C000000}" name="WinRate"/>
    <tableColumn id="13" xr3:uid="{00000000-0010-0000-0000-00000D000000}" name="Resul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Fact_Matches" displayName="Fact_Matches" ref="A1:L49" totalsRowShown="0">
  <autoFilter ref="A1:L49" xr:uid="{00000000-0009-0000-0100-000003000000}"/>
  <tableColumns count="12">
    <tableColumn id="1" xr3:uid="{00000000-0010-0000-0100-000001000000}" name="MatchID"/>
    <tableColumn id="2" xr3:uid="{00000000-0010-0000-0100-000002000000}" name="Tournament"/>
    <tableColumn id="3" xr3:uid="{00000000-0010-0000-0100-000003000000}" name="Stage"/>
    <tableColumn id="4" xr3:uid="{00000000-0010-0000-0100-000004000000}" name="Round"/>
    <tableColumn id="5" xr3:uid="{00000000-0010-0000-0100-000005000000}" name="Pool"/>
    <tableColumn id="6" xr3:uid="{00000000-0010-0000-0100-000006000000}" name="Team1"/>
    <tableColumn id="7" xr3:uid="{00000000-0010-0000-0100-000007000000}" name="Score1"/>
    <tableColumn id="8" xr3:uid="{00000000-0010-0000-0100-000008000000}" name="Score2"/>
    <tableColumn id="9" xr3:uid="{00000000-0010-0000-0100-000009000000}" name="Team2"/>
    <tableColumn id="10" xr3:uid="{00000000-0010-0000-0100-00000A000000}" name="Winner"/>
    <tableColumn id="11" xr3:uid="{00000000-0010-0000-0100-00000B000000}" name="Margin"/>
    <tableColumn id="12" xr3:uid="{00000000-0010-0000-0100-00000C000000}" name="Tota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im_Players" displayName="Dim_Players" ref="A1:K51" totalsRowShown="0">
  <autoFilter ref="A1:K51" xr:uid="{00000000-0009-0000-0100-000001000000}"/>
  <tableColumns count="11">
    <tableColumn id="1" xr3:uid="{00000000-0010-0000-0200-000001000000}" name="RegID"/>
    <tableColumn id="2" xr3:uid="{00000000-0010-0000-0200-000002000000}" name="RegTime"/>
    <tableColumn id="3" xr3:uid="{00000000-0010-0000-0200-000003000000}" name="Tournament"/>
    <tableColumn id="4" xr3:uid="{00000000-0010-0000-0200-000004000000}" name="Pool"/>
    <tableColumn id="5" xr3:uid="{00000000-0010-0000-0200-000005000000}" name="TeamNo"/>
    <tableColumn id="6" xr3:uid="{00000000-0010-0000-0200-000006000000}" name="Team"/>
    <tableColumn id="7" xr3:uid="{00000000-0010-0000-0200-000007000000}" name="Player"/>
    <tableColumn id="8" xr3:uid="{00000000-0010-0000-0200-000008000000}" name="Category"/>
    <tableColumn id="9" xr3:uid="{00000000-0010-0000-0200-000009000000}" name="Source"/>
    <tableColumn id="10" xr3:uid="{00000000-0010-0000-0200-00000A000000}" name="RegDate"/>
    <tableColumn id="11" xr3:uid="{00000000-0010-0000-0200-00000B000000}" name="RegHou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Normal="100" workbookViewId="0"/>
  </sheetViews>
  <sheetFormatPr defaultColWidth="8.7109375" defaultRowHeight="15" x14ac:dyDescent="0.25"/>
  <cols>
    <col min="1" max="8" width="17" customWidth="1"/>
  </cols>
  <sheetData>
    <row r="1" spans="1:8" ht="20.25" x14ac:dyDescent="0.3">
      <c r="A1" s="2" t="s">
        <v>0</v>
      </c>
    </row>
    <row r="2" spans="1:8" x14ac:dyDescent="0.25">
      <c r="A2" s="3" t="s">
        <v>1</v>
      </c>
    </row>
    <row r="4" spans="1:8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8" ht="31.5" customHeight="1" x14ac:dyDescent="0.25">
      <c r="A5" s="5">
        <f>COUNTA(Dim_Players!G2:G51)</f>
        <v>50</v>
      </c>
      <c r="B5" s="5">
        <f>COUNTA(Fact_Matches!A2:A49)</f>
        <v>48</v>
      </c>
      <c r="C5" s="6">
        <f>AVERAGE(Fact_Matches!K2:K49)</f>
        <v>7.5625</v>
      </c>
      <c r="D5" s="5">
        <f>COUNTIF(Fact_Matches!G2:G49,0)+COUNTIF(Fact_Matches!H2:H49,0)</f>
        <v>10</v>
      </c>
      <c r="E5" s="7">
        <f>COUNTIF(Dim_Players!I2:I51,"Додано вручну")/COUNTA(Dim_Players!G2:G51)</f>
        <v>0.22</v>
      </c>
    </row>
    <row r="7" spans="1:8" x14ac:dyDescent="0.25">
      <c r="A7" s="8" t="s">
        <v>7</v>
      </c>
    </row>
    <row r="8" spans="1:8" ht="30" customHeight="1" x14ac:dyDescent="0.25">
      <c r="A8" s="1" t="s">
        <v>8</v>
      </c>
      <c r="B8" s="1"/>
      <c r="C8" s="1"/>
      <c r="D8" s="1"/>
      <c r="E8" s="1"/>
      <c r="F8" s="1"/>
      <c r="G8" s="1"/>
      <c r="H8" s="1"/>
    </row>
    <row r="9" spans="1:8" ht="43.5" customHeight="1" x14ac:dyDescent="0.25">
      <c r="A9" s="1" t="s">
        <v>9</v>
      </c>
      <c r="B9" s="1"/>
      <c r="C9" s="1"/>
      <c r="D9" s="1"/>
      <c r="E9" s="1"/>
      <c r="F9" s="1"/>
      <c r="G9" s="1"/>
      <c r="H9" s="1"/>
    </row>
    <row r="10" spans="1:8" ht="43.5" customHeight="1" x14ac:dyDescent="0.25">
      <c r="A10" s="1" t="s">
        <v>10</v>
      </c>
      <c r="B10" s="1"/>
      <c r="C10" s="1"/>
      <c r="D10" s="1"/>
      <c r="E10" s="1"/>
      <c r="F10" s="1"/>
      <c r="G10" s="1"/>
      <c r="H10" s="1"/>
    </row>
    <row r="11" spans="1:8" ht="43.5" customHeight="1" x14ac:dyDescent="0.25">
      <c r="A11" s="1" t="s">
        <v>11</v>
      </c>
      <c r="B11" s="1"/>
      <c r="C11" s="1"/>
      <c r="D11" s="1"/>
      <c r="E11" s="1"/>
      <c r="F11" s="1"/>
      <c r="G11" s="1"/>
      <c r="H11" s="1"/>
    </row>
    <row r="13" spans="1:8" x14ac:dyDescent="0.25">
      <c r="A13" s="8" t="s">
        <v>12</v>
      </c>
    </row>
    <row r="14" spans="1:8" ht="16.5" customHeight="1" x14ac:dyDescent="0.25">
      <c r="A14" s="1" t="s">
        <v>13</v>
      </c>
      <c r="B14" s="1"/>
      <c r="C14" s="1"/>
      <c r="D14" s="1"/>
      <c r="E14" s="1"/>
      <c r="F14" s="1"/>
      <c r="G14" s="1"/>
      <c r="H14" s="1"/>
    </row>
    <row r="15" spans="1:8" ht="30" customHeight="1" x14ac:dyDescent="0.25">
      <c r="A15" s="1" t="s">
        <v>14</v>
      </c>
      <c r="B15" s="1"/>
      <c r="C15" s="1"/>
      <c r="D15" s="1"/>
      <c r="E15" s="1"/>
      <c r="F15" s="1"/>
      <c r="G15" s="1"/>
      <c r="H15" s="1"/>
    </row>
    <row r="16" spans="1:8" ht="30" customHeight="1" x14ac:dyDescent="0.25">
      <c r="A16" s="1" t="s">
        <v>15</v>
      </c>
      <c r="B16" s="1"/>
      <c r="C16" s="1"/>
      <c r="D16" s="1"/>
      <c r="E16" s="1"/>
      <c r="F16" s="1"/>
      <c r="G16" s="1"/>
      <c r="H16" s="1"/>
    </row>
    <row r="17" spans="1:8" ht="30" customHeight="1" x14ac:dyDescent="0.25">
      <c r="A17" s="1" t="s">
        <v>16</v>
      </c>
      <c r="B17" s="1"/>
      <c r="C17" s="1"/>
      <c r="D17" s="1"/>
      <c r="E17" s="1"/>
      <c r="F17" s="1"/>
      <c r="G17" s="1"/>
      <c r="H17" s="1"/>
    </row>
    <row r="19" spans="1:8" x14ac:dyDescent="0.25">
      <c r="A19" s="8" t="s">
        <v>17</v>
      </c>
    </row>
    <row r="20" spans="1:8" ht="30" customHeight="1" x14ac:dyDescent="0.25">
      <c r="A20" s="1" t="s">
        <v>18</v>
      </c>
      <c r="B20" s="1"/>
      <c r="C20" s="1"/>
      <c r="D20" s="1"/>
      <c r="E20" s="1"/>
      <c r="F20" s="1"/>
      <c r="G20" s="1"/>
      <c r="H20" s="1"/>
    </row>
    <row r="21" spans="1:8" ht="16.5" customHeight="1" x14ac:dyDescent="0.25">
      <c r="A21" s="1" t="s">
        <v>19</v>
      </c>
      <c r="B21" s="1"/>
      <c r="C21" s="1"/>
      <c r="D21" s="1"/>
      <c r="E21" s="1"/>
      <c r="F21" s="1"/>
      <c r="G21" s="1"/>
      <c r="H21" s="1"/>
    </row>
    <row r="22" spans="1:8" ht="30" customHeight="1" x14ac:dyDescent="0.25">
      <c r="A22" s="1" t="s">
        <v>20</v>
      </c>
      <c r="B22" s="1"/>
      <c r="C22" s="1"/>
      <c r="D22" s="1"/>
      <c r="E22" s="1"/>
      <c r="F22" s="1"/>
      <c r="G22" s="1"/>
      <c r="H22" s="1"/>
    </row>
    <row r="24" spans="1:8" x14ac:dyDescent="0.25">
      <c r="A24" s="8" t="s">
        <v>21</v>
      </c>
    </row>
    <row r="25" spans="1:8" ht="30" customHeight="1" x14ac:dyDescent="0.25">
      <c r="A25" s="1" t="s">
        <v>22</v>
      </c>
      <c r="B25" s="1"/>
      <c r="C25" s="1"/>
      <c r="D25" s="1"/>
      <c r="E25" s="1"/>
      <c r="F25" s="1"/>
      <c r="G25" s="1"/>
      <c r="H25" s="1"/>
    </row>
    <row r="26" spans="1:8" ht="43.5" customHeight="1" x14ac:dyDescent="0.25">
      <c r="A26" s="1" t="s">
        <v>23</v>
      </c>
      <c r="B26" s="1"/>
      <c r="C26" s="1"/>
      <c r="D26" s="1"/>
      <c r="E26" s="1"/>
      <c r="F26" s="1"/>
      <c r="G26" s="1"/>
      <c r="H26" s="1"/>
    </row>
    <row r="28" spans="1:8" x14ac:dyDescent="0.25">
      <c r="A28" s="8" t="s">
        <v>24</v>
      </c>
    </row>
    <row r="29" spans="1:8" ht="30" customHeight="1" x14ac:dyDescent="0.25">
      <c r="A29" s="1" t="s">
        <v>25</v>
      </c>
      <c r="B29" s="1"/>
      <c r="C29" s="1"/>
      <c r="D29" s="1"/>
      <c r="E29" s="1"/>
      <c r="F29" s="1"/>
      <c r="G29" s="1"/>
      <c r="H29" s="1"/>
    </row>
  </sheetData>
  <mergeCells count="14">
    <mergeCell ref="A22:H22"/>
    <mergeCell ref="A25:H25"/>
    <mergeCell ref="A26:H26"/>
    <mergeCell ref="A29:H29"/>
    <mergeCell ref="A15:H15"/>
    <mergeCell ref="A16:H16"/>
    <mergeCell ref="A17:H17"/>
    <mergeCell ref="A20:H20"/>
    <mergeCell ref="A21:H21"/>
    <mergeCell ref="A8:H8"/>
    <mergeCell ref="A9:H9"/>
    <mergeCell ref="A10:H10"/>
    <mergeCell ref="A11:H11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opLeftCell="A41" zoomScaleNormal="100" workbookViewId="0"/>
  </sheetViews>
  <sheetFormatPr defaultColWidth="8.7109375" defaultRowHeight="15" x14ac:dyDescent="0.25"/>
  <cols>
    <col min="1" max="1" width="34" customWidth="1"/>
    <col min="2" max="2" width="12" customWidth="1"/>
    <col min="3" max="3" width="16" customWidth="1"/>
    <col min="4" max="4" width="10" customWidth="1"/>
    <col min="5" max="6" width="9" customWidth="1"/>
  </cols>
  <sheetData>
    <row r="1" spans="1:3" ht="20.25" x14ac:dyDescent="0.3">
      <c r="A1" s="2" t="s">
        <v>26</v>
      </c>
    </row>
    <row r="2" spans="1:3" x14ac:dyDescent="0.25">
      <c r="A2" s="3" t="s">
        <v>27</v>
      </c>
    </row>
    <row r="4" spans="1:3" x14ac:dyDescent="0.25">
      <c r="A4" s="8" t="s">
        <v>28</v>
      </c>
    </row>
    <row r="5" spans="1:3" ht="25.5" x14ac:dyDescent="0.25">
      <c r="A5" s="9" t="s">
        <v>29</v>
      </c>
      <c r="B5" s="9" t="s">
        <v>30</v>
      </c>
      <c r="C5" s="9" t="s">
        <v>31</v>
      </c>
    </row>
    <row r="6" spans="1:3" x14ac:dyDescent="0.25">
      <c r="A6" s="10">
        <v>46286</v>
      </c>
      <c r="B6" s="11">
        <f>COUNTIFS(Dim_Players!$J$2:$J$51,A6)</f>
        <v>10</v>
      </c>
      <c r="C6" s="11">
        <f>SUM($B$6:B6)</f>
        <v>10</v>
      </c>
    </row>
    <row r="7" spans="1:3" x14ac:dyDescent="0.25">
      <c r="A7" s="10">
        <v>46287</v>
      </c>
      <c r="B7" s="11">
        <f>COUNTIFS(Dim_Players!$J$2:$J$51,A7)</f>
        <v>2</v>
      </c>
      <c r="C7" s="11">
        <f>SUM($B$6:B7)</f>
        <v>12</v>
      </c>
    </row>
    <row r="8" spans="1:3" x14ac:dyDescent="0.25">
      <c r="A8" s="10">
        <v>46288</v>
      </c>
      <c r="B8" s="11">
        <f>COUNTIFS(Dim_Players!$J$2:$J$51,A8)</f>
        <v>6</v>
      </c>
      <c r="C8" s="11">
        <f>SUM($B$6:B8)</f>
        <v>18</v>
      </c>
    </row>
    <row r="9" spans="1:3" x14ac:dyDescent="0.25">
      <c r="A9" s="10">
        <v>46289</v>
      </c>
      <c r="B9" s="11">
        <f>COUNTIFS(Dim_Players!$J$2:$J$51,A9)</f>
        <v>2</v>
      </c>
      <c r="C9" s="11">
        <f>SUM($B$6:B9)</f>
        <v>20</v>
      </c>
    </row>
    <row r="10" spans="1:3" x14ac:dyDescent="0.25">
      <c r="A10" s="10">
        <v>46290</v>
      </c>
      <c r="B10" s="11">
        <f>COUNTIFS(Dim_Players!$J$2:$J$51,A10)</f>
        <v>0</v>
      </c>
      <c r="C10" s="11">
        <f>SUM($B$6:B10)</f>
        <v>20</v>
      </c>
    </row>
    <row r="11" spans="1:3" x14ac:dyDescent="0.25">
      <c r="A11" s="10">
        <v>46291</v>
      </c>
      <c r="B11" s="11">
        <f>COUNTIFS(Dim_Players!$J$2:$J$51,A11)</f>
        <v>4</v>
      </c>
      <c r="C11" s="11">
        <f>SUM($B$6:B11)</f>
        <v>24</v>
      </c>
    </row>
    <row r="12" spans="1:3" x14ac:dyDescent="0.25">
      <c r="A12" s="10">
        <v>46292</v>
      </c>
      <c r="B12" s="11">
        <f>COUNTIFS(Dim_Players!$J$2:$J$51,A12)</f>
        <v>3</v>
      </c>
      <c r="C12" s="11">
        <f>SUM($B$6:B12)</f>
        <v>27</v>
      </c>
    </row>
    <row r="13" spans="1:3" x14ac:dyDescent="0.25">
      <c r="A13" s="10">
        <v>46293</v>
      </c>
      <c r="B13" s="11">
        <f>COUNTIFS(Dim_Players!$J$2:$J$51,A13)</f>
        <v>0</v>
      </c>
      <c r="C13" s="11">
        <f>SUM($B$6:B13)</f>
        <v>27</v>
      </c>
    </row>
    <row r="14" spans="1:3" x14ac:dyDescent="0.25">
      <c r="A14" s="10">
        <v>46294</v>
      </c>
      <c r="B14" s="11">
        <f>COUNTIFS(Dim_Players!$J$2:$J$51,A14)</f>
        <v>2</v>
      </c>
      <c r="C14" s="11">
        <f>SUM($B$6:B14)</f>
        <v>29</v>
      </c>
    </row>
    <row r="15" spans="1:3" x14ac:dyDescent="0.25">
      <c r="A15" s="10">
        <v>46295</v>
      </c>
      <c r="B15" s="11">
        <f>COUNTIFS(Dim_Players!$J$2:$J$51,A15)</f>
        <v>0</v>
      </c>
      <c r="C15" s="11">
        <f>SUM($B$6:B15)</f>
        <v>29</v>
      </c>
    </row>
    <row r="16" spans="1:3" x14ac:dyDescent="0.25">
      <c r="A16" s="10">
        <v>46296</v>
      </c>
      <c r="B16" s="11">
        <f>COUNTIFS(Dim_Players!$J$2:$J$51,A16)</f>
        <v>3</v>
      </c>
      <c r="C16" s="11">
        <f>SUM($B$6:B16)</f>
        <v>32</v>
      </c>
    </row>
    <row r="17" spans="1:6" x14ac:dyDescent="0.25">
      <c r="A17" s="10">
        <v>46297</v>
      </c>
      <c r="B17" s="11">
        <f>COUNTIFS(Dim_Players!$J$2:$J$51,A17)</f>
        <v>0</v>
      </c>
      <c r="C17" s="11">
        <f>SUM($B$6:B17)</f>
        <v>32</v>
      </c>
    </row>
    <row r="18" spans="1:6" x14ac:dyDescent="0.25">
      <c r="A18" s="10">
        <v>46298</v>
      </c>
      <c r="B18" s="11">
        <f>COUNTIFS(Dim_Players!$J$2:$J$51,A18)</f>
        <v>1</v>
      </c>
      <c r="C18" s="11">
        <f>SUM($B$6:B18)</f>
        <v>33</v>
      </c>
    </row>
    <row r="19" spans="1:6" x14ac:dyDescent="0.25">
      <c r="A19" s="10">
        <v>46299</v>
      </c>
      <c r="B19" s="11">
        <f>COUNTIFS(Dim_Players!$J$2:$J$51,A19)</f>
        <v>5</v>
      </c>
      <c r="C19" s="11">
        <f>SUM($B$6:B19)</f>
        <v>38</v>
      </c>
    </row>
    <row r="20" spans="1:6" x14ac:dyDescent="0.25">
      <c r="A20" s="10">
        <v>46300</v>
      </c>
      <c r="B20" s="11">
        <f>COUNTIFS(Dim_Players!$J$2:$J$51,A20)</f>
        <v>1</v>
      </c>
      <c r="C20" s="11">
        <f>SUM($B$6:B20)</f>
        <v>39</v>
      </c>
    </row>
    <row r="21" spans="1:6" x14ac:dyDescent="0.25">
      <c r="A21" s="12" t="s">
        <v>32</v>
      </c>
      <c r="B21" s="12">
        <f>SUM(B6:B20)</f>
        <v>39</v>
      </c>
      <c r="C21" s="13"/>
    </row>
    <row r="24" spans="1:6" x14ac:dyDescent="0.25">
      <c r="A24" s="8" t="s">
        <v>33</v>
      </c>
    </row>
    <row r="25" spans="1:6" x14ac:dyDescent="0.25">
      <c r="A25" s="9" t="s">
        <v>34</v>
      </c>
      <c r="B25" s="9" t="s">
        <v>35</v>
      </c>
      <c r="C25" s="9" t="s">
        <v>36</v>
      </c>
      <c r="D25" s="9" t="s">
        <v>37</v>
      </c>
      <c r="E25" s="9" t="s">
        <v>38</v>
      </c>
      <c r="F25" s="9" t="s">
        <v>39</v>
      </c>
    </row>
    <row r="26" spans="1:6" x14ac:dyDescent="0.25">
      <c r="A26" s="11" t="s">
        <v>40</v>
      </c>
      <c r="B26" s="11">
        <f>COUNTIFS(Dim_Players!$H$2:$H$51,$A26,Dim_Players!$C$2:$C$51,B$25)</f>
        <v>4</v>
      </c>
      <c r="C26" s="11">
        <f>COUNTIFS(Dim_Players!$H$2:$H$51,$A26,Dim_Players!$C$2:$C$51,C$25)</f>
        <v>19</v>
      </c>
      <c r="D26" s="11">
        <f>COUNTIFS(Dim_Players!$H$2:$H$51,$A26,Dim_Players!$C$2:$C$51,D$25)</f>
        <v>0</v>
      </c>
      <c r="E26" s="14">
        <f t="shared" ref="E26:E31" si="0">SUM(B26:D26)</f>
        <v>23</v>
      </c>
      <c r="F26" s="15">
        <f t="shared" ref="F26:F31" si="1">E26/$E$32</f>
        <v>0.46</v>
      </c>
    </row>
    <row r="27" spans="1:6" x14ac:dyDescent="0.25">
      <c r="A27" s="11" t="s">
        <v>41</v>
      </c>
      <c r="B27" s="11">
        <f>COUNTIFS(Dim_Players!$H$2:$H$51,$A27,Dim_Players!$C$2:$C$51,B$25)</f>
        <v>5</v>
      </c>
      <c r="C27" s="11">
        <f>COUNTIFS(Dim_Players!$H$2:$H$51,$A27,Dim_Players!$C$2:$C$51,C$25)</f>
        <v>0</v>
      </c>
      <c r="D27" s="11">
        <f>COUNTIFS(Dim_Players!$H$2:$H$51,$A27,Dim_Players!$C$2:$C$51,D$25)</f>
        <v>0</v>
      </c>
      <c r="E27" s="14">
        <f t="shared" si="0"/>
        <v>5</v>
      </c>
      <c r="F27" s="15">
        <f t="shared" si="1"/>
        <v>0.1</v>
      </c>
    </row>
    <row r="28" spans="1:6" x14ac:dyDescent="0.25">
      <c r="A28" s="11" t="s">
        <v>42</v>
      </c>
      <c r="B28" s="11">
        <f>COUNTIFS(Dim_Players!$H$2:$H$51,$A28,Dim_Players!$C$2:$C$51,B$25)</f>
        <v>4</v>
      </c>
      <c r="C28" s="11">
        <f>COUNTIFS(Dim_Players!$H$2:$H$51,$A28,Dim_Players!$C$2:$C$51,C$25)</f>
        <v>0</v>
      </c>
      <c r="D28" s="11">
        <f>COUNTIFS(Dim_Players!$H$2:$H$51,$A28,Dim_Players!$C$2:$C$51,D$25)</f>
        <v>0</v>
      </c>
      <c r="E28" s="14">
        <f t="shared" si="0"/>
        <v>4</v>
      </c>
      <c r="F28" s="15">
        <f t="shared" si="1"/>
        <v>0.08</v>
      </c>
    </row>
    <row r="29" spans="1:6" x14ac:dyDescent="0.25">
      <c r="A29" s="11" t="s">
        <v>43</v>
      </c>
      <c r="B29" s="11">
        <f>COUNTIFS(Dim_Players!$H$2:$H$51,$A29,Dim_Players!$C$2:$C$51,B$25)</f>
        <v>0</v>
      </c>
      <c r="C29" s="11">
        <f>COUNTIFS(Dim_Players!$H$2:$H$51,$A29,Dim_Players!$C$2:$C$51,C$25)</f>
        <v>3</v>
      </c>
      <c r="D29" s="11">
        <f>COUNTIFS(Dim_Players!$H$2:$H$51,$A29,Dim_Players!$C$2:$C$51,D$25)</f>
        <v>1</v>
      </c>
      <c r="E29" s="14">
        <f t="shared" si="0"/>
        <v>4</v>
      </c>
      <c r="F29" s="15">
        <f t="shared" si="1"/>
        <v>0.08</v>
      </c>
    </row>
    <row r="30" spans="1:6" x14ac:dyDescent="0.25">
      <c r="A30" s="11" t="s">
        <v>44</v>
      </c>
      <c r="B30" s="11">
        <f>COUNTIFS(Dim_Players!$H$2:$H$51,$A30,Dim_Players!$C$2:$C$51,B$25)</f>
        <v>0</v>
      </c>
      <c r="C30" s="11">
        <f>COUNTIFS(Dim_Players!$H$2:$H$51,$A30,Dim_Players!$C$2:$C$51,C$25)</f>
        <v>0</v>
      </c>
      <c r="D30" s="11">
        <f>COUNTIFS(Dim_Players!$H$2:$H$51,$A30,Dim_Players!$C$2:$C$51,D$25)</f>
        <v>4</v>
      </c>
      <c r="E30" s="14">
        <f t="shared" si="0"/>
        <v>4</v>
      </c>
      <c r="F30" s="15">
        <f t="shared" si="1"/>
        <v>0.08</v>
      </c>
    </row>
    <row r="31" spans="1:6" x14ac:dyDescent="0.25">
      <c r="A31" s="11" t="s">
        <v>45</v>
      </c>
      <c r="B31" s="11">
        <f>COUNTIFS(Dim_Players!$H$2:$H$51,$A31,Dim_Players!$C$2:$C$51,B$25)</f>
        <v>3</v>
      </c>
      <c r="C31" s="11">
        <f>COUNTIFS(Dim_Players!$H$2:$H$51,$A31,Dim_Players!$C$2:$C$51,C$25)</f>
        <v>6</v>
      </c>
      <c r="D31" s="11">
        <f>COUNTIFS(Dim_Players!$H$2:$H$51,$A31,Dim_Players!$C$2:$C$51,D$25)</f>
        <v>1</v>
      </c>
      <c r="E31" s="14">
        <f t="shared" si="0"/>
        <v>10</v>
      </c>
      <c r="F31" s="15">
        <f t="shared" si="1"/>
        <v>0.2</v>
      </c>
    </row>
    <row r="32" spans="1:6" x14ac:dyDescent="0.25">
      <c r="A32" s="12" t="s">
        <v>32</v>
      </c>
      <c r="B32" s="12">
        <f>SUM(B26:B31)</f>
        <v>16</v>
      </c>
      <c r="C32" s="12">
        <f>SUM(C26:C31)</f>
        <v>28</v>
      </c>
      <c r="D32" s="12">
        <f>SUM(D26:D31)</f>
        <v>6</v>
      </c>
      <c r="E32" s="12">
        <f>SUM(E26:E31)</f>
        <v>50</v>
      </c>
      <c r="F32" s="16">
        <f>E32/E32</f>
        <v>1</v>
      </c>
    </row>
    <row r="36" spans="1:2" x14ac:dyDescent="0.25">
      <c r="A36" s="8" t="s">
        <v>46</v>
      </c>
    </row>
    <row r="37" spans="1:2" x14ac:dyDescent="0.25">
      <c r="A37" s="9" t="s">
        <v>47</v>
      </c>
      <c r="B37" s="9" t="s">
        <v>30</v>
      </c>
    </row>
    <row r="38" spans="1:2" x14ac:dyDescent="0.25">
      <c r="A38" s="11">
        <v>6</v>
      </c>
      <c r="B38" s="11">
        <f>COUNTIFS(Dim_Players!$K$2:$K$51,A38)</f>
        <v>1</v>
      </c>
    </row>
    <row r="39" spans="1:2" x14ac:dyDescent="0.25">
      <c r="A39" s="11">
        <v>7</v>
      </c>
      <c r="B39" s="11">
        <f>COUNTIFS(Dim_Players!$K$2:$K$51,A39)</f>
        <v>0</v>
      </c>
    </row>
    <row r="40" spans="1:2" x14ac:dyDescent="0.25">
      <c r="A40" s="11">
        <v>8</v>
      </c>
      <c r="B40" s="11">
        <f>COUNTIFS(Dim_Players!$K$2:$K$51,A40)</f>
        <v>1</v>
      </c>
    </row>
    <row r="41" spans="1:2" x14ac:dyDescent="0.25">
      <c r="A41" s="11">
        <v>9</v>
      </c>
      <c r="B41" s="11">
        <f>COUNTIFS(Dim_Players!$K$2:$K$51,A41)</f>
        <v>5</v>
      </c>
    </row>
    <row r="42" spans="1:2" x14ac:dyDescent="0.25">
      <c r="A42" s="11">
        <v>10</v>
      </c>
      <c r="B42" s="11">
        <f>COUNTIFS(Dim_Players!$K$2:$K$51,A42)</f>
        <v>3</v>
      </c>
    </row>
    <row r="43" spans="1:2" x14ac:dyDescent="0.25">
      <c r="A43" s="11">
        <v>11</v>
      </c>
      <c r="B43" s="11">
        <f>COUNTIFS(Dim_Players!$K$2:$K$51,A43)</f>
        <v>3</v>
      </c>
    </row>
    <row r="44" spans="1:2" x14ac:dyDescent="0.25">
      <c r="A44" s="11">
        <v>12</v>
      </c>
      <c r="B44" s="11">
        <f>COUNTIFS(Dim_Players!$K$2:$K$51,A44)</f>
        <v>2</v>
      </c>
    </row>
    <row r="45" spans="1:2" x14ac:dyDescent="0.25">
      <c r="A45" s="11">
        <v>13</v>
      </c>
      <c r="B45" s="11">
        <f>COUNTIFS(Dim_Players!$K$2:$K$51,A45)</f>
        <v>3</v>
      </c>
    </row>
    <row r="46" spans="1:2" x14ac:dyDescent="0.25">
      <c r="A46" s="11">
        <v>14</v>
      </c>
      <c r="B46" s="11">
        <f>COUNTIFS(Dim_Players!$K$2:$K$51,A46)</f>
        <v>2</v>
      </c>
    </row>
    <row r="47" spans="1:2" x14ac:dyDescent="0.25">
      <c r="A47" s="11">
        <v>15</v>
      </c>
      <c r="B47" s="11">
        <f>COUNTIFS(Dim_Players!$K$2:$K$51,A47)</f>
        <v>1</v>
      </c>
    </row>
    <row r="48" spans="1:2" x14ac:dyDescent="0.25">
      <c r="A48" s="11">
        <v>16</v>
      </c>
      <c r="B48" s="11">
        <f>COUNTIFS(Dim_Players!$K$2:$K$51,A48)</f>
        <v>3</v>
      </c>
    </row>
    <row r="49" spans="1:5" x14ac:dyDescent="0.25">
      <c r="A49" s="11">
        <v>17</v>
      </c>
      <c r="B49" s="11">
        <f>COUNTIFS(Dim_Players!$K$2:$K$51,A49)</f>
        <v>0</v>
      </c>
    </row>
    <row r="50" spans="1:5" x14ac:dyDescent="0.25">
      <c r="A50" s="11">
        <v>18</v>
      </c>
      <c r="B50" s="11">
        <f>COUNTIFS(Dim_Players!$K$2:$K$51,A50)</f>
        <v>4</v>
      </c>
    </row>
    <row r="51" spans="1:5" x14ac:dyDescent="0.25">
      <c r="A51" s="11">
        <v>19</v>
      </c>
      <c r="B51" s="11">
        <f>COUNTIFS(Dim_Players!$K$2:$K$51,A51)</f>
        <v>5</v>
      </c>
    </row>
    <row r="52" spans="1:5" x14ac:dyDescent="0.25">
      <c r="A52" s="11">
        <v>20</v>
      </c>
      <c r="B52" s="11">
        <f>COUNTIFS(Dim_Players!$K$2:$K$51,A52)</f>
        <v>1</v>
      </c>
    </row>
    <row r="53" spans="1:5" x14ac:dyDescent="0.25">
      <c r="A53" s="11">
        <v>21</v>
      </c>
      <c r="B53" s="11">
        <f>COUNTIFS(Dim_Players!$K$2:$K$51,A53)</f>
        <v>4</v>
      </c>
    </row>
    <row r="54" spans="1:5" x14ac:dyDescent="0.25">
      <c r="A54" s="11">
        <v>22</v>
      </c>
      <c r="B54" s="11">
        <f>COUNTIFS(Dim_Players!$K$2:$K$51,A54)</f>
        <v>0</v>
      </c>
    </row>
    <row r="55" spans="1:5" x14ac:dyDescent="0.25">
      <c r="A55" s="11">
        <v>23</v>
      </c>
      <c r="B55" s="11">
        <f>COUNTIFS(Dim_Players!$K$2:$K$51,A55)</f>
        <v>1</v>
      </c>
    </row>
    <row r="58" spans="1:5" x14ac:dyDescent="0.25">
      <c r="A58" s="8" t="s">
        <v>48</v>
      </c>
    </row>
    <row r="59" spans="1:5" x14ac:dyDescent="0.25">
      <c r="A59" s="9" t="s">
        <v>49</v>
      </c>
      <c r="B59" s="9" t="s">
        <v>35</v>
      </c>
      <c r="C59" s="9" t="s">
        <v>36</v>
      </c>
      <c r="D59" s="9" t="s">
        <v>37</v>
      </c>
      <c r="E59" s="9" t="s">
        <v>38</v>
      </c>
    </row>
    <row r="60" spans="1:5" x14ac:dyDescent="0.25">
      <c r="A60" s="11" t="s">
        <v>50</v>
      </c>
      <c r="B60" s="11">
        <f>COUNTIFS(Dim_Players!$I$2:$I$51,$A60,Dim_Players!$C$2:$C$51,B$59)</f>
        <v>13</v>
      </c>
      <c r="C60" s="11">
        <f>COUNTIFS(Dim_Players!$I$2:$I$51,$A60,Dim_Players!$C$2:$C$51,C$59)</f>
        <v>21</v>
      </c>
      <c r="D60" s="11">
        <f>COUNTIFS(Dim_Players!$I$2:$I$51,$A60,Dim_Players!$C$2:$C$51,D$59)</f>
        <v>5</v>
      </c>
      <c r="E60" s="14">
        <f>SUM(B60:D60)</f>
        <v>39</v>
      </c>
    </row>
    <row r="61" spans="1:5" x14ac:dyDescent="0.25">
      <c r="A61" s="11" t="s">
        <v>51</v>
      </c>
      <c r="B61" s="11">
        <f>COUNTIFS(Dim_Players!$I$2:$I$51,$A61,Dim_Players!$C$2:$C$51,B$59)</f>
        <v>3</v>
      </c>
      <c r="C61" s="11">
        <f>COUNTIFS(Dim_Players!$I$2:$I$51,$A61,Dim_Players!$C$2:$C$51,C$59)</f>
        <v>7</v>
      </c>
      <c r="D61" s="11">
        <f>COUNTIFS(Dim_Players!$I$2:$I$51,$A61,Dim_Players!$C$2:$C$51,D$59)</f>
        <v>1</v>
      </c>
      <c r="E61" s="14">
        <f>SUM(B61:D61)</f>
        <v>11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topLeftCell="A5" zoomScaleNormal="100" workbookViewId="0"/>
  </sheetViews>
  <sheetFormatPr defaultColWidth="8.7109375" defaultRowHeight="15" x14ac:dyDescent="0.25"/>
  <cols>
    <col min="1" max="1" width="22" customWidth="1"/>
    <col min="2" max="2" width="10" customWidth="1"/>
    <col min="3" max="3" width="16" customWidth="1"/>
    <col min="4" max="4" width="14" customWidth="1"/>
    <col min="5" max="5" width="13" customWidth="1"/>
    <col min="6" max="6" width="14" customWidth="1"/>
    <col min="7" max="7" width="12" customWidth="1"/>
    <col min="8" max="8" width="14" customWidth="1"/>
    <col min="9" max="9" width="15" customWidth="1"/>
  </cols>
  <sheetData>
    <row r="1" spans="1:9" ht="20.25" x14ac:dyDescent="0.3">
      <c r="A1" s="2" t="s">
        <v>52</v>
      </c>
    </row>
    <row r="2" spans="1:9" x14ac:dyDescent="0.25">
      <c r="A2" s="3" t="s">
        <v>53</v>
      </c>
    </row>
    <row r="4" spans="1:9" x14ac:dyDescent="0.25">
      <c r="A4" s="8" t="s">
        <v>54</v>
      </c>
    </row>
    <row r="5" spans="1:9" ht="25.5" x14ac:dyDescent="0.25">
      <c r="A5" s="9" t="s">
        <v>55</v>
      </c>
      <c r="B5" s="9" t="s">
        <v>56</v>
      </c>
      <c r="C5" s="9" t="s">
        <v>57</v>
      </c>
      <c r="D5" s="9" t="s">
        <v>3</v>
      </c>
      <c r="E5" s="9" t="s">
        <v>58</v>
      </c>
      <c r="F5" s="9" t="s">
        <v>59</v>
      </c>
      <c r="G5" s="9" t="s">
        <v>5</v>
      </c>
      <c r="H5" s="9" t="s">
        <v>60</v>
      </c>
      <c r="I5" s="9" t="s">
        <v>61</v>
      </c>
    </row>
    <row r="6" spans="1:9" x14ac:dyDescent="0.25">
      <c r="A6" s="11" t="s">
        <v>62</v>
      </c>
      <c r="B6" s="11" t="s">
        <v>35</v>
      </c>
      <c r="C6" s="11" t="s">
        <v>63</v>
      </c>
      <c r="D6" s="11">
        <f>COUNTIFS(Fact_Matches!$B$2:$B$49,$B6,Fact_Matches!$C$2:$C$49,$C6)</f>
        <v>12</v>
      </c>
      <c r="E6" s="17">
        <f>AVERAGEIFS(Fact_Matches!$K$2:$K$49,Fact_Matches!$B$2:$B$49,$B6,Fact_Matches!$C$2:$C$49,$C6)</f>
        <v>7.166666666666667</v>
      </c>
      <c r="F6" s="17">
        <f>AVERAGEIFS(Fact_Matches!$L$2:$L$49,Fact_Matches!$B$2:$B$49,$B6,Fact_Matches!$C$2:$C$49,$C6)</f>
        <v>14.833333333333334</v>
      </c>
      <c r="G6" s="11">
        <f>COUNTIFS(Fact_Matches!$B$2:$B$49,$B6,Fact_Matches!$C$2:$C$49,$C6,Fact_Matches!$G$2:$G$49,0)+COUNTIFS(Fact_Matches!$B$2:$B$49,$B6,Fact_Matches!$C$2:$C$49,$C6,Fact_Matches!$H$2:$H$49,0)</f>
        <v>0</v>
      </c>
      <c r="H6" s="11">
        <f>COUNTIFS(Fact_Matches!$B$2:$B$49,$B6,Fact_Matches!$C$2:$C$49,$C6,Fact_Matches!$K$2:$K$49,"&lt;=3")</f>
        <v>2</v>
      </c>
      <c r="I6" s="11">
        <f>COUNTIFS(Fact_Matches!$B$2:$B$49,$B6,Fact_Matches!$C$2:$C$49,$C6,Fact_Matches!$K$2:$K$49,"&gt;=9")</f>
        <v>5</v>
      </c>
    </row>
    <row r="7" spans="1:9" x14ac:dyDescent="0.25">
      <c r="A7" s="11" t="s">
        <v>64</v>
      </c>
      <c r="B7" s="11" t="s">
        <v>35</v>
      </c>
      <c r="C7" s="11" t="s">
        <v>65</v>
      </c>
      <c r="D7" s="11">
        <f>COUNTIFS(Fact_Matches!$B$2:$B$49,$B7,Fact_Matches!$C$2:$C$49,$C7)</f>
        <v>4</v>
      </c>
      <c r="E7" s="17">
        <f>AVERAGEIFS(Fact_Matches!$K$2:$K$49,Fact_Matches!$B$2:$B$49,$B7,Fact_Matches!$C$2:$C$49,$C7)</f>
        <v>6.25</v>
      </c>
      <c r="F7" s="17">
        <f>AVERAGEIFS(Fact_Matches!$L$2:$L$49,Fact_Matches!$B$2:$B$49,$B7,Fact_Matches!$C$2:$C$49,$C7)</f>
        <v>15.75</v>
      </c>
      <c r="G7" s="11">
        <f>COUNTIFS(Fact_Matches!$B$2:$B$49,$B7,Fact_Matches!$C$2:$C$49,$C7,Fact_Matches!$G$2:$G$49,0)+COUNTIFS(Fact_Matches!$B$2:$B$49,$B7,Fact_Matches!$C$2:$C$49,$C7,Fact_Matches!$H$2:$H$49,0)</f>
        <v>0</v>
      </c>
      <c r="H7" s="11">
        <f>COUNTIFS(Fact_Matches!$B$2:$B$49,$B7,Fact_Matches!$C$2:$C$49,$C7,Fact_Matches!$K$2:$K$49,"&lt;=3")</f>
        <v>1</v>
      </c>
      <c r="I7" s="11">
        <f>COUNTIFS(Fact_Matches!$B$2:$B$49,$B7,Fact_Matches!$C$2:$C$49,$C7,Fact_Matches!$K$2:$K$49,"&gt;=9")</f>
        <v>2</v>
      </c>
    </row>
    <row r="8" spans="1:9" x14ac:dyDescent="0.25">
      <c r="A8" s="11" t="s">
        <v>66</v>
      </c>
      <c r="B8" s="11" t="s">
        <v>36</v>
      </c>
      <c r="C8" s="11" t="s">
        <v>63</v>
      </c>
      <c r="D8" s="11">
        <f>COUNTIFS(Fact_Matches!$B$2:$B$49,$B8,Fact_Matches!$C$2:$C$49,$C8)</f>
        <v>18</v>
      </c>
      <c r="E8" s="17">
        <f>AVERAGEIFS(Fact_Matches!$K$2:$K$49,Fact_Matches!$B$2:$B$49,$B8,Fact_Matches!$C$2:$C$49,$C8)</f>
        <v>8.8333333333333339</v>
      </c>
      <c r="F8" s="17">
        <f>AVERAGEIFS(Fact_Matches!$L$2:$L$49,Fact_Matches!$B$2:$B$49,$B8,Fact_Matches!$C$2:$C$49,$C8)</f>
        <v>13.388888888888889</v>
      </c>
      <c r="G8" s="11">
        <f>COUNTIFS(Fact_Matches!$B$2:$B$49,$B8,Fact_Matches!$C$2:$C$49,$C8,Fact_Matches!$G$2:$G$49,0)+COUNTIFS(Fact_Matches!$B$2:$B$49,$B8,Fact_Matches!$C$2:$C$49,$C8,Fact_Matches!$H$2:$H$49,0)</f>
        <v>9</v>
      </c>
      <c r="H8" s="11">
        <f>COUNTIFS(Fact_Matches!$B$2:$B$49,$B8,Fact_Matches!$C$2:$C$49,$C8,Fact_Matches!$K$2:$K$49,"&lt;=3")</f>
        <v>1</v>
      </c>
      <c r="I8" s="11">
        <f>COUNTIFS(Fact_Matches!$B$2:$B$49,$B8,Fact_Matches!$C$2:$C$49,$C8,Fact_Matches!$K$2:$K$49,"&gt;=9")</f>
        <v>12</v>
      </c>
    </row>
    <row r="9" spans="1:9" x14ac:dyDescent="0.25">
      <c r="A9" s="11" t="s">
        <v>67</v>
      </c>
      <c r="B9" s="11" t="s">
        <v>36</v>
      </c>
      <c r="C9" s="11" t="s">
        <v>65</v>
      </c>
      <c r="D9" s="11">
        <f>COUNTIFS(Fact_Matches!$B$2:$B$49,$B9,Fact_Matches!$C$2:$C$49,$C9)</f>
        <v>8</v>
      </c>
      <c r="E9" s="17">
        <f>AVERAGEIFS(Fact_Matches!$K$2:$K$49,Fact_Matches!$B$2:$B$49,$B9,Fact_Matches!$C$2:$C$49,$C9)</f>
        <v>5.375</v>
      </c>
      <c r="F9" s="17">
        <f>AVERAGEIFS(Fact_Matches!$L$2:$L$49,Fact_Matches!$B$2:$B$49,$B9,Fact_Matches!$C$2:$C$49,$C9)</f>
        <v>16.625</v>
      </c>
      <c r="G9" s="11">
        <f>COUNTIFS(Fact_Matches!$B$2:$B$49,$B9,Fact_Matches!$C$2:$C$49,$C9,Fact_Matches!$G$2:$G$49,0)+COUNTIFS(Fact_Matches!$B$2:$B$49,$B9,Fact_Matches!$C$2:$C$49,$C9,Fact_Matches!$H$2:$H$49,0)</f>
        <v>0</v>
      </c>
      <c r="H9" s="11">
        <f>COUNTIFS(Fact_Matches!$B$2:$B$49,$B9,Fact_Matches!$C$2:$C$49,$C9,Fact_Matches!$K$2:$K$49,"&lt;=3")</f>
        <v>3</v>
      </c>
      <c r="I9" s="11">
        <f>COUNTIFS(Fact_Matches!$B$2:$B$49,$B9,Fact_Matches!$C$2:$C$49,$C9,Fact_Matches!$K$2:$K$49,"&gt;=9")</f>
        <v>2</v>
      </c>
    </row>
    <row r="10" spans="1:9" x14ac:dyDescent="0.25">
      <c r="A10" s="11" t="s">
        <v>68</v>
      </c>
      <c r="B10" s="11" t="s">
        <v>37</v>
      </c>
      <c r="C10" s="11" t="s">
        <v>63</v>
      </c>
      <c r="D10" s="11">
        <f>COUNTIFS(Fact_Matches!$B$2:$B$49,$B10,Fact_Matches!$C$2:$C$49,$C10)</f>
        <v>6</v>
      </c>
      <c r="E10" s="17">
        <f>AVERAGEIFS(Fact_Matches!$K$2:$K$49,Fact_Matches!$B$2:$B$49,$B10,Fact_Matches!$C$2:$C$49,$C10)</f>
        <v>8.3333333333333339</v>
      </c>
      <c r="F10" s="17">
        <f>AVERAGEIFS(Fact_Matches!$L$2:$L$49,Fact_Matches!$B$2:$B$49,$B10,Fact_Matches!$C$2:$C$49,$C10)</f>
        <v>13.666666666666666</v>
      </c>
      <c r="G10" s="11">
        <f>COUNTIFS(Fact_Matches!$B$2:$B$49,$B10,Fact_Matches!$C$2:$C$49,$C10,Fact_Matches!$G$2:$G$49,0)+COUNTIFS(Fact_Matches!$B$2:$B$49,$B10,Fact_Matches!$C$2:$C$49,$C10,Fact_Matches!$H$2:$H$49,0)</f>
        <v>1</v>
      </c>
      <c r="H10" s="11">
        <f>COUNTIFS(Fact_Matches!$B$2:$B$49,$B10,Fact_Matches!$C$2:$C$49,$C10,Fact_Matches!$K$2:$K$49,"&lt;=3")</f>
        <v>0</v>
      </c>
      <c r="I10" s="11">
        <f>COUNTIFS(Fact_Matches!$B$2:$B$49,$B10,Fact_Matches!$C$2:$C$49,$C10,Fact_Matches!$K$2:$K$49,"&gt;=9")</f>
        <v>3</v>
      </c>
    </row>
    <row r="11" spans="1:9" x14ac:dyDescent="0.25">
      <c r="A11" s="12" t="s">
        <v>32</v>
      </c>
      <c r="B11" s="13"/>
      <c r="C11" s="13"/>
      <c r="D11" s="12">
        <f>SUM(D6:D10)</f>
        <v>48</v>
      </c>
      <c r="E11" s="18">
        <f>AVERAGE(Fact_Matches!$K$2:$K$49)</f>
        <v>7.5625</v>
      </c>
      <c r="F11" s="18">
        <f>AVERAGE(Fact_Matches!$L$2:$L$49)</f>
        <v>14.520833333333334</v>
      </c>
      <c r="G11" s="12">
        <f>SUM(G6:G10)</f>
        <v>10</v>
      </c>
      <c r="H11" s="12">
        <f>SUM(H6:H10)</f>
        <v>7</v>
      </c>
      <c r="I11" s="12">
        <f>SUM(I6:I10)</f>
        <v>24</v>
      </c>
    </row>
    <row r="14" spans="1:9" x14ac:dyDescent="0.25">
      <c r="A14" s="8" t="s">
        <v>69</v>
      </c>
    </row>
    <row r="15" spans="1:9" ht="25.5" x14ac:dyDescent="0.25">
      <c r="A15" s="9" t="s">
        <v>70</v>
      </c>
      <c r="B15" s="9" t="s">
        <v>71</v>
      </c>
      <c r="C15" s="9" t="s">
        <v>72</v>
      </c>
      <c r="D15" s="9" t="s">
        <v>63</v>
      </c>
      <c r="E15" s="9" t="s">
        <v>65</v>
      </c>
      <c r="F15" s="9" t="s">
        <v>32</v>
      </c>
    </row>
    <row r="16" spans="1:9" x14ac:dyDescent="0.25">
      <c r="A16" s="11" t="s">
        <v>73</v>
      </c>
      <c r="B16" s="11">
        <v>1</v>
      </c>
      <c r="C16" s="11">
        <v>2</v>
      </c>
      <c r="D16" s="11">
        <f>COUNTIFS(Fact_Matches!$K$2:$K$49,"&gt;="&amp;$B16,Fact_Matches!$K$2:$K$49,"&lt;="&amp;$C16,Fact_Matches!$C$2:$C$49,"Груповий етап")</f>
        <v>2</v>
      </c>
      <c r="E16" s="11">
        <f>COUNTIFS(Fact_Matches!$K$2:$K$49,"&gt;="&amp;$B16,Fact_Matches!$K$2:$K$49,"&lt;="&amp;$C16,Fact_Matches!$C$2:$C$49,"Play-off")</f>
        <v>0</v>
      </c>
      <c r="F16" s="14">
        <f t="shared" ref="F16:F21" si="0">D16+E16</f>
        <v>2</v>
      </c>
    </row>
    <row r="17" spans="1:6" x14ac:dyDescent="0.25">
      <c r="A17" s="11" t="s">
        <v>74</v>
      </c>
      <c r="B17" s="11">
        <v>3</v>
      </c>
      <c r="C17" s="11">
        <v>4</v>
      </c>
      <c r="D17" s="11">
        <f>COUNTIFS(Fact_Matches!$K$2:$K$49,"&gt;="&amp;$B17,Fact_Matches!$K$2:$K$49,"&lt;="&amp;$C17,Fact_Matches!$C$2:$C$49,"Груповий етап")</f>
        <v>2</v>
      </c>
      <c r="E17" s="11">
        <f>COUNTIFS(Fact_Matches!$K$2:$K$49,"&gt;="&amp;$B17,Fact_Matches!$K$2:$K$49,"&lt;="&amp;$C17,Fact_Matches!$C$2:$C$49,"Play-off")</f>
        <v>6</v>
      </c>
      <c r="F17" s="14">
        <f t="shared" si="0"/>
        <v>8</v>
      </c>
    </row>
    <row r="18" spans="1:6" x14ac:dyDescent="0.25">
      <c r="A18" s="11" t="s">
        <v>75</v>
      </c>
      <c r="B18" s="11">
        <v>5</v>
      </c>
      <c r="C18" s="11">
        <v>6</v>
      </c>
      <c r="D18" s="11">
        <f>COUNTIFS(Fact_Matches!$K$2:$K$49,"&gt;="&amp;$B18,Fact_Matches!$K$2:$K$49,"&lt;="&amp;$C18,Fact_Matches!$C$2:$C$49,"Груповий етап")</f>
        <v>4</v>
      </c>
      <c r="E18" s="11">
        <f>COUNTIFS(Fact_Matches!$K$2:$K$49,"&gt;="&amp;$B18,Fact_Matches!$K$2:$K$49,"&lt;="&amp;$C18,Fact_Matches!$C$2:$C$49,"Play-off")</f>
        <v>2</v>
      </c>
      <c r="F18" s="14">
        <f t="shared" si="0"/>
        <v>6</v>
      </c>
    </row>
    <row r="19" spans="1:6" x14ac:dyDescent="0.25">
      <c r="A19" s="11" t="s">
        <v>76</v>
      </c>
      <c r="B19" s="11">
        <v>7</v>
      </c>
      <c r="C19" s="11">
        <v>8</v>
      </c>
      <c r="D19" s="11">
        <f>COUNTIFS(Fact_Matches!$K$2:$K$49,"&gt;="&amp;$B19,Fact_Matches!$K$2:$K$49,"&lt;="&amp;$C19,Fact_Matches!$C$2:$C$49,"Груповий етап")</f>
        <v>8</v>
      </c>
      <c r="E19" s="11">
        <f>COUNTIFS(Fact_Matches!$K$2:$K$49,"&gt;="&amp;$B19,Fact_Matches!$K$2:$K$49,"&lt;="&amp;$C19,Fact_Matches!$C$2:$C$49,"Play-off")</f>
        <v>0</v>
      </c>
      <c r="F19" s="14">
        <f t="shared" si="0"/>
        <v>8</v>
      </c>
    </row>
    <row r="20" spans="1:6" x14ac:dyDescent="0.25">
      <c r="A20" s="11" t="s">
        <v>77</v>
      </c>
      <c r="B20" s="11">
        <v>9</v>
      </c>
      <c r="C20" s="11">
        <v>10</v>
      </c>
      <c r="D20" s="11">
        <f>COUNTIFS(Fact_Matches!$K$2:$K$49,"&gt;="&amp;$B20,Fact_Matches!$K$2:$K$49,"&lt;="&amp;$C20,Fact_Matches!$C$2:$C$49,"Груповий етап")</f>
        <v>10</v>
      </c>
      <c r="E20" s="11">
        <f>COUNTIFS(Fact_Matches!$K$2:$K$49,"&gt;="&amp;$B20,Fact_Matches!$K$2:$K$49,"&lt;="&amp;$C20,Fact_Matches!$C$2:$C$49,"Play-off")</f>
        <v>4</v>
      </c>
      <c r="F20" s="14">
        <f t="shared" si="0"/>
        <v>14</v>
      </c>
    </row>
    <row r="21" spans="1:6" x14ac:dyDescent="0.25">
      <c r="A21" s="11" t="s">
        <v>78</v>
      </c>
      <c r="B21" s="11">
        <v>11</v>
      </c>
      <c r="C21" s="11">
        <v>11</v>
      </c>
      <c r="D21" s="11">
        <f>COUNTIFS(Fact_Matches!$K$2:$K$49,"&gt;="&amp;$B21,Fact_Matches!$K$2:$K$49,"&lt;="&amp;$C21,Fact_Matches!$C$2:$C$49,"Груповий етап")</f>
        <v>10</v>
      </c>
      <c r="E21" s="11">
        <f>COUNTIFS(Fact_Matches!$K$2:$K$49,"&gt;="&amp;$B21,Fact_Matches!$K$2:$K$49,"&lt;="&amp;$C21,Fact_Matches!$C$2:$C$49,"Play-off")</f>
        <v>0</v>
      </c>
      <c r="F21" s="14">
        <f t="shared" si="0"/>
        <v>10</v>
      </c>
    </row>
    <row r="22" spans="1:6" x14ac:dyDescent="0.25">
      <c r="A22" s="12" t="s">
        <v>32</v>
      </c>
      <c r="B22" s="13"/>
      <c r="C22" s="13"/>
      <c r="D22" s="12">
        <f>SUM(D16:D21)</f>
        <v>36</v>
      </c>
      <c r="E22" s="12">
        <f>SUM(E16:E21)</f>
        <v>12</v>
      </c>
      <c r="F22" s="12">
        <f>SUM(F16:F21)</f>
        <v>48</v>
      </c>
    </row>
    <row r="25" spans="1:6" x14ac:dyDescent="0.25">
      <c r="A25" s="8" t="s">
        <v>79</v>
      </c>
    </row>
    <row r="26" spans="1:6" ht="25.5" x14ac:dyDescent="0.25">
      <c r="A26" s="9" t="s">
        <v>57</v>
      </c>
      <c r="B26" s="9" t="s">
        <v>3</v>
      </c>
      <c r="C26" s="9" t="s">
        <v>58</v>
      </c>
      <c r="D26" s="9" t="s">
        <v>59</v>
      </c>
      <c r="E26" s="9" t="s">
        <v>80</v>
      </c>
    </row>
    <row r="27" spans="1:6" x14ac:dyDescent="0.25">
      <c r="A27" s="11" t="s">
        <v>63</v>
      </c>
      <c r="B27" s="11">
        <f>COUNTIFS(Fact_Matches!$C$2:$C$49,A27)</f>
        <v>36</v>
      </c>
      <c r="C27" s="17">
        <f>AVERAGEIFS(Fact_Matches!$K$2:$K$49,Fact_Matches!$C$2:$C$49,A27)</f>
        <v>8.1944444444444446</v>
      </c>
      <c r="D27" s="17">
        <f>AVERAGEIFS(Fact_Matches!$L$2:$L$49,Fact_Matches!$C$2:$C$49,A27)</f>
        <v>13.916666666666666</v>
      </c>
      <c r="E27" s="15">
        <f>COUNTIFS(Fact_Matches!$C$2:$C$49,A27,Fact_Matches!$K$2:$K$49,"&lt;=3")/B27</f>
        <v>8.3333333333333329E-2</v>
      </c>
    </row>
    <row r="28" spans="1:6" x14ac:dyDescent="0.25">
      <c r="A28" s="11" t="s">
        <v>65</v>
      </c>
      <c r="B28" s="11">
        <f>COUNTIFS(Fact_Matches!$C$2:$C$49,A28)</f>
        <v>12</v>
      </c>
      <c r="C28" s="17">
        <f>AVERAGEIFS(Fact_Matches!$K$2:$K$49,Fact_Matches!$C$2:$C$49,A28)</f>
        <v>5.666666666666667</v>
      </c>
      <c r="D28" s="17">
        <f>AVERAGEIFS(Fact_Matches!$L$2:$L$49,Fact_Matches!$C$2:$C$49,A28)</f>
        <v>16.333333333333332</v>
      </c>
      <c r="E28" s="15">
        <f>COUNTIFS(Fact_Matches!$C$2:$C$49,A28,Fact_Matches!$K$2:$K$49,"&lt;=3")/B28</f>
        <v>0.33333333333333331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zoomScaleNormal="100" workbookViewId="0">
      <selection activeCell="W23" sqref="W23"/>
    </sheetView>
  </sheetViews>
  <sheetFormatPr defaultColWidth="8.7109375" defaultRowHeight="15" x14ac:dyDescent="0.25"/>
  <cols>
    <col min="1" max="1" width="16" customWidth="1"/>
    <col min="2" max="2" width="8" customWidth="1"/>
    <col min="3" max="7" width="10" customWidth="1"/>
    <col min="8" max="8" width="8" customWidth="1"/>
  </cols>
  <sheetData>
    <row r="1" spans="1:8" ht="20.25" x14ac:dyDescent="0.3">
      <c r="A1" s="2" t="s">
        <v>81</v>
      </c>
    </row>
    <row r="2" spans="1:8" x14ac:dyDescent="0.25">
      <c r="A2" s="3" t="s">
        <v>82</v>
      </c>
    </row>
    <row r="4" spans="1:8" x14ac:dyDescent="0.25">
      <c r="A4" s="9" t="s">
        <v>83</v>
      </c>
      <c r="B4" s="9" t="s">
        <v>84</v>
      </c>
      <c r="C4" s="9" t="s">
        <v>85</v>
      </c>
      <c r="D4" s="9" t="s">
        <v>86</v>
      </c>
      <c r="E4" s="9" t="s">
        <v>87</v>
      </c>
      <c r="F4" s="9" t="s">
        <v>88</v>
      </c>
      <c r="G4" s="9" t="s">
        <v>89</v>
      </c>
      <c r="H4" s="9" t="s">
        <v>90</v>
      </c>
    </row>
    <row r="5" spans="1:8" x14ac:dyDescent="0.25">
      <c r="A5" s="11" t="s">
        <v>91</v>
      </c>
      <c r="B5" s="11">
        <f>COUNTIFS(Fact_Matches!$B$2:$B$49,"Група 3",Fact_Matches!$F$2:$F$49,"*"&amp;$A5&amp;"*")+COUNTIFS(Fact_Matches!$B$2:$B$49,"Група 3",Fact_Matches!$I$2:$I$49,"*"&amp;$A5&amp;"*")</f>
        <v>4</v>
      </c>
      <c r="C5" s="11">
        <f>COUNTIFS(Fact_Matches!$B$2:$B$49,"Група 3",Fact_Matches!$J$2:$J$49,"*"&amp;$A5&amp;"*")</f>
        <v>4</v>
      </c>
      <c r="D5" s="11">
        <f t="shared" ref="D5:D10" si="0">B5-C5</f>
        <v>0</v>
      </c>
      <c r="E5" s="11">
        <f>SUMIFS(Fact_Matches!$G$2:$G$49,Fact_Matches!$B$2:$B$49,"Група 3",Fact_Matches!$F$2:$F$49,"*"&amp;$A5&amp;"*")+SUMIFS(Fact_Matches!$H$2:$H$49,Fact_Matches!$B$2:$B$49,"Група 3",Fact_Matches!$I$2:$I$49,"*"&amp;$A5&amp;"*")</f>
        <v>44</v>
      </c>
      <c r="F5" s="11">
        <f>SUMIFS(Fact_Matches!$H$2:$H$49,Fact_Matches!$B$2:$B$49,"Група 3",Fact_Matches!$F$2:$F$49,"*"&amp;$A5&amp;"*")+SUMIFS(Fact_Matches!$G$2:$G$49,Fact_Matches!$B$2:$B$49,"Група 3",Fact_Matches!$I$2:$I$49,"*"&amp;$A5&amp;"*")</f>
        <v>10</v>
      </c>
      <c r="G5" s="11">
        <f t="shared" ref="G5:G10" si="1">E5-F5</f>
        <v>34</v>
      </c>
      <c r="H5" s="14">
        <f t="shared" ref="H5:H10" si="2">1+COUNTIF($C$5:$C$10,"&gt;"&amp;C5)+SUMPRODUCT(($C$5:$C$10=C5)*($G$5:$G$10&gt;G5))</f>
        <v>1</v>
      </c>
    </row>
    <row r="6" spans="1:8" x14ac:dyDescent="0.25">
      <c r="A6" s="11" t="s">
        <v>92</v>
      </c>
      <c r="B6" s="11">
        <f>COUNTIFS(Fact_Matches!$B$2:$B$49,"Група 3",Fact_Matches!$F$2:$F$49,"*"&amp;$A6&amp;"*")+COUNTIFS(Fact_Matches!$B$2:$B$49,"Група 3",Fact_Matches!$I$2:$I$49,"*"&amp;$A6&amp;"*")</f>
        <v>4</v>
      </c>
      <c r="C6" s="11">
        <f>COUNTIFS(Fact_Matches!$B$2:$B$49,"Група 3",Fact_Matches!$J$2:$J$49,"*"&amp;$A6&amp;"*")</f>
        <v>3</v>
      </c>
      <c r="D6" s="11">
        <f t="shared" si="0"/>
        <v>1</v>
      </c>
      <c r="E6" s="11">
        <f>SUMIFS(Fact_Matches!$G$2:$G$49,Fact_Matches!$B$2:$B$49,"Група 3",Fact_Matches!$F$2:$F$49,"*"&amp;$A6&amp;"*")+SUMIFS(Fact_Matches!$H$2:$H$49,Fact_Matches!$B$2:$B$49,"Група 3",Fact_Matches!$I$2:$I$49,"*"&amp;$A6&amp;"*")</f>
        <v>34</v>
      </c>
      <c r="F6" s="11">
        <f>SUMIFS(Fact_Matches!$H$2:$H$49,Fact_Matches!$B$2:$B$49,"Група 3",Fact_Matches!$F$2:$F$49,"*"&amp;$A6&amp;"*")+SUMIFS(Fact_Matches!$G$2:$G$49,Fact_Matches!$B$2:$B$49,"Група 3",Fact_Matches!$I$2:$I$49,"*"&amp;$A6&amp;"*")</f>
        <v>23</v>
      </c>
      <c r="G6" s="11">
        <f t="shared" si="1"/>
        <v>11</v>
      </c>
      <c r="H6" s="14">
        <f t="shared" si="2"/>
        <v>2</v>
      </c>
    </row>
    <row r="7" spans="1:8" x14ac:dyDescent="0.25">
      <c r="A7" s="11" t="s">
        <v>93</v>
      </c>
      <c r="B7" s="11">
        <f>COUNTIFS(Fact_Matches!$B$2:$B$49,"Група 3",Fact_Matches!$F$2:$F$49,"*"&amp;$A7&amp;"*")+COUNTIFS(Fact_Matches!$B$2:$B$49,"Група 3",Fact_Matches!$I$2:$I$49,"*"&amp;$A7&amp;"*")</f>
        <v>4</v>
      </c>
      <c r="C7" s="11">
        <f>COUNTIFS(Fact_Matches!$B$2:$B$49,"Група 3",Fact_Matches!$J$2:$J$49,"*"&amp;$A7&amp;"*")</f>
        <v>2</v>
      </c>
      <c r="D7" s="11">
        <f t="shared" si="0"/>
        <v>2</v>
      </c>
      <c r="E7" s="11">
        <f>SUMIFS(Fact_Matches!$G$2:$G$49,Fact_Matches!$B$2:$B$49,"Група 3",Fact_Matches!$F$2:$F$49,"*"&amp;$A7&amp;"*")+SUMIFS(Fact_Matches!$H$2:$H$49,Fact_Matches!$B$2:$B$49,"Група 3",Fact_Matches!$I$2:$I$49,"*"&amp;$A7&amp;"*")</f>
        <v>30</v>
      </c>
      <c r="F7" s="11">
        <f>SUMIFS(Fact_Matches!$H$2:$H$49,Fact_Matches!$B$2:$B$49,"Група 3",Fact_Matches!$F$2:$F$49,"*"&amp;$A7&amp;"*")+SUMIFS(Fact_Matches!$G$2:$G$49,Fact_Matches!$B$2:$B$49,"Група 3",Fact_Matches!$I$2:$I$49,"*"&amp;$A7&amp;"*")</f>
        <v>29</v>
      </c>
      <c r="G7" s="11">
        <f t="shared" si="1"/>
        <v>1</v>
      </c>
      <c r="H7" s="14">
        <f t="shared" si="2"/>
        <v>3</v>
      </c>
    </row>
    <row r="8" spans="1:8" x14ac:dyDescent="0.25">
      <c r="A8" s="11" t="s">
        <v>94</v>
      </c>
      <c r="B8" s="11">
        <f>COUNTIFS(Fact_Matches!$B$2:$B$49,"Група 3",Fact_Matches!$F$2:$F$49,"*"&amp;$A8&amp;"*")+COUNTIFS(Fact_Matches!$B$2:$B$49,"Група 3",Fact_Matches!$I$2:$I$49,"*"&amp;$A8&amp;"*")</f>
        <v>4</v>
      </c>
      <c r="C8" s="11">
        <f>COUNTIFS(Fact_Matches!$B$2:$B$49,"Група 3",Fact_Matches!$J$2:$J$49,"*"&amp;$A8&amp;"*")</f>
        <v>2</v>
      </c>
      <c r="D8" s="11">
        <f t="shared" si="0"/>
        <v>2</v>
      </c>
      <c r="E8" s="11">
        <f>SUMIFS(Fact_Matches!$G$2:$G$49,Fact_Matches!$B$2:$B$49,"Група 3",Fact_Matches!$F$2:$F$49,"*"&amp;$A8&amp;"*")+SUMIFS(Fact_Matches!$H$2:$H$49,Fact_Matches!$B$2:$B$49,"Група 3",Fact_Matches!$I$2:$I$49,"*"&amp;$A8&amp;"*")</f>
        <v>25</v>
      </c>
      <c r="F8" s="11">
        <f>SUMIFS(Fact_Matches!$H$2:$H$49,Fact_Matches!$B$2:$B$49,"Група 3",Fact_Matches!$F$2:$F$49,"*"&amp;$A8&amp;"*")+SUMIFS(Fact_Matches!$G$2:$G$49,Fact_Matches!$B$2:$B$49,"Група 3",Fact_Matches!$I$2:$I$49,"*"&amp;$A8&amp;"*")</f>
        <v>25</v>
      </c>
      <c r="G8" s="11">
        <f t="shared" si="1"/>
        <v>0</v>
      </c>
      <c r="H8" s="14">
        <f t="shared" si="2"/>
        <v>4</v>
      </c>
    </row>
    <row r="9" spans="1:8" x14ac:dyDescent="0.25">
      <c r="A9" s="11" t="s">
        <v>95</v>
      </c>
      <c r="B9" s="11">
        <f>COUNTIFS(Fact_Matches!$B$2:$B$49,"Група 3",Fact_Matches!$F$2:$F$49,"*"&amp;$A9&amp;"*")+COUNTIFS(Fact_Matches!$B$2:$B$49,"Група 3",Fact_Matches!$I$2:$I$49,"*"&amp;$A9&amp;"*")</f>
        <v>4</v>
      </c>
      <c r="C9" s="11">
        <f>COUNTIFS(Fact_Matches!$B$2:$B$49,"Група 3",Fact_Matches!$J$2:$J$49,"*"&amp;$A9&amp;"*")</f>
        <v>1</v>
      </c>
      <c r="D9" s="11">
        <f t="shared" si="0"/>
        <v>3</v>
      </c>
      <c r="E9" s="11">
        <f>SUMIFS(Fact_Matches!$G$2:$G$49,Fact_Matches!$B$2:$B$49,"Група 3",Fact_Matches!$F$2:$F$49,"*"&amp;$A9&amp;"*")+SUMIFS(Fact_Matches!$H$2:$H$49,Fact_Matches!$B$2:$B$49,"Група 3",Fact_Matches!$I$2:$I$49,"*"&amp;$A9&amp;"*")</f>
        <v>24</v>
      </c>
      <c r="F9" s="11">
        <f>SUMIFS(Fact_Matches!$H$2:$H$49,Fact_Matches!$B$2:$B$49,"Група 3",Fact_Matches!$F$2:$F$49,"*"&amp;$A9&amp;"*")+SUMIFS(Fact_Matches!$G$2:$G$49,Fact_Matches!$B$2:$B$49,"Група 3",Fact_Matches!$I$2:$I$49,"*"&amp;$A9&amp;"*")</f>
        <v>33</v>
      </c>
      <c r="G9" s="11">
        <f t="shared" si="1"/>
        <v>-9</v>
      </c>
      <c r="H9" s="14">
        <f t="shared" si="2"/>
        <v>5</v>
      </c>
    </row>
    <row r="10" spans="1:8" x14ac:dyDescent="0.25">
      <c r="A10" s="11" t="s">
        <v>96</v>
      </c>
      <c r="B10" s="11">
        <f>COUNTIFS(Fact_Matches!$B$2:$B$49,"Група 3",Fact_Matches!$F$2:$F$49,"*"&amp;$A10&amp;"*")+COUNTIFS(Fact_Matches!$B$2:$B$49,"Група 3",Fact_Matches!$I$2:$I$49,"*"&amp;$A10&amp;"*")</f>
        <v>4</v>
      </c>
      <c r="C10" s="11">
        <f>COUNTIFS(Fact_Matches!$B$2:$B$49,"Група 3",Fact_Matches!$J$2:$J$49,"*"&amp;$A10&amp;"*")</f>
        <v>0</v>
      </c>
      <c r="D10" s="11">
        <f t="shared" si="0"/>
        <v>4</v>
      </c>
      <c r="E10" s="11">
        <f>SUMIFS(Fact_Matches!$G$2:$G$49,Fact_Matches!$B$2:$B$49,"Група 3",Fact_Matches!$F$2:$F$49,"*"&amp;$A10&amp;"*")+SUMIFS(Fact_Matches!$H$2:$H$49,Fact_Matches!$B$2:$B$49,"Група 3",Fact_Matches!$I$2:$I$49,"*"&amp;$A10&amp;"*")</f>
        <v>7</v>
      </c>
      <c r="F10" s="11">
        <f>SUMIFS(Fact_Matches!$H$2:$H$49,Fact_Matches!$B$2:$B$49,"Група 3",Fact_Matches!$F$2:$F$49,"*"&amp;$A10&amp;"*")+SUMIFS(Fact_Matches!$G$2:$G$49,Fact_Matches!$B$2:$B$49,"Група 3",Fact_Matches!$I$2:$I$49,"*"&amp;$A10&amp;"*")</f>
        <v>44</v>
      </c>
      <c r="G10" s="11">
        <f t="shared" si="1"/>
        <v>-37</v>
      </c>
      <c r="H10" s="14">
        <f t="shared" si="2"/>
        <v>6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"/>
  <sheetViews>
    <sheetView topLeftCell="T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8" customWidth="1"/>
    <col min="3" max="3" width="34" customWidth="1"/>
    <col min="4" max="4" width="28" customWidth="1"/>
    <col min="5" max="8" width="8" customWidth="1"/>
    <col min="9" max="9" width="10" customWidth="1"/>
    <col min="10" max="10" width="13" customWidth="1"/>
    <col min="11" max="11" width="8" customWidth="1"/>
    <col min="12" max="12" width="9" customWidth="1"/>
    <col min="13" max="13" width="16" customWidth="1"/>
  </cols>
  <sheetData>
    <row r="1" spans="1:15" x14ac:dyDescent="0.25">
      <c r="A1" s="19" t="s">
        <v>97</v>
      </c>
      <c r="B1" s="19" t="s">
        <v>98</v>
      </c>
      <c r="C1" s="19" t="s">
        <v>99</v>
      </c>
      <c r="D1" s="19" t="s">
        <v>100</v>
      </c>
      <c r="E1" s="19" t="s">
        <v>101</v>
      </c>
      <c r="F1" s="19" t="s">
        <v>102</v>
      </c>
      <c r="G1" s="19" t="s">
        <v>103</v>
      </c>
      <c r="H1" s="19" t="s">
        <v>104</v>
      </c>
      <c r="I1" s="19" t="s">
        <v>105</v>
      </c>
      <c r="J1" s="19" t="s">
        <v>106</v>
      </c>
      <c r="K1" s="19" t="s">
        <v>107</v>
      </c>
      <c r="L1" s="19" t="s">
        <v>108</v>
      </c>
      <c r="M1" s="19" t="s">
        <v>109</v>
      </c>
      <c r="O1" s="8" t="s">
        <v>110</v>
      </c>
    </row>
    <row r="2" spans="1:15" x14ac:dyDescent="0.25">
      <c r="A2" s="20" t="s">
        <v>36</v>
      </c>
      <c r="B2" s="20">
        <v>2</v>
      </c>
      <c r="C2" s="20" t="s">
        <v>111</v>
      </c>
      <c r="D2" s="20" t="s">
        <v>112</v>
      </c>
      <c r="E2" s="20" t="s">
        <v>113</v>
      </c>
      <c r="F2" s="20">
        <f>COUNTIF(Fact_Matches!$F$2:$F$49,C2)+COUNTIF(Fact_Matches!$I$2:$I$49,C2)</f>
        <v>5</v>
      </c>
      <c r="G2" s="20">
        <f>COUNTIF(Fact_Matches!$J$2:$J$49,C2)</f>
        <v>5</v>
      </c>
      <c r="H2" s="20">
        <f t="shared" ref="H2:H23" si="0">F2-G2</f>
        <v>0</v>
      </c>
      <c r="I2" s="20">
        <f>SUMIF(Fact_Matches!$F$2:$F$49,C2,Fact_Matches!$G$2:$G$49)+SUMIF(Fact_Matches!$I$2:$I$49,C2,Fact_Matches!$H$2:$H$49)</f>
        <v>55</v>
      </c>
      <c r="J2" s="20">
        <f>SUMIF(Fact_Matches!$F$2:$F$49,C2,Fact_Matches!$H$2:$H$49)+SUMIF(Fact_Matches!$I$2:$I$49,C2,Fact_Matches!$G$2:$G$49)</f>
        <v>22</v>
      </c>
      <c r="K2" s="20">
        <f t="shared" ref="K2:K23" si="1">I2-J2</f>
        <v>33</v>
      </c>
      <c r="L2" s="21">
        <f t="shared" ref="L2:L23" si="2">IF(F2=0,0,G2/F2)</f>
        <v>1</v>
      </c>
      <c r="M2" s="20" t="s">
        <v>114</v>
      </c>
    </row>
    <row r="3" spans="1:15" x14ac:dyDescent="0.25">
      <c r="A3" s="20" t="s">
        <v>35</v>
      </c>
      <c r="B3" s="20">
        <v>1</v>
      </c>
      <c r="C3" s="20" t="s">
        <v>115</v>
      </c>
      <c r="D3" s="20" t="s">
        <v>116</v>
      </c>
      <c r="E3" s="20" t="s">
        <v>117</v>
      </c>
      <c r="F3" s="20">
        <f>COUNTIF(Fact_Matches!$F$2:$F$49,C3)+COUNTIF(Fact_Matches!$I$2:$I$49,C3)</f>
        <v>5</v>
      </c>
      <c r="G3" s="20">
        <f>COUNTIF(Fact_Matches!$J$2:$J$49,C3)</f>
        <v>4</v>
      </c>
      <c r="H3" s="20">
        <f t="shared" si="0"/>
        <v>1</v>
      </c>
      <c r="I3" s="20">
        <f>SUMIF(Fact_Matches!$F$2:$F$49,C3,Fact_Matches!$G$2:$G$49)+SUMIF(Fact_Matches!$I$2:$I$49,C3,Fact_Matches!$H$2:$H$49)</f>
        <v>52</v>
      </c>
      <c r="J3" s="20">
        <f>SUMIF(Fact_Matches!$F$2:$F$49,C3,Fact_Matches!$H$2:$H$49)+SUMIF(Fact_Matches!$I$2:$I$49,C3,Fact_Matches!$G$2:$G$49)</f>
        <v>20</v>
      </c>
      <c r="K3" s="20">
        <f t="shared" si="1"/>
        <v>32</v>
      </c>
      <c r="L3" s="21">
        <f t="shared" si="2"/>
        <v>0.8</v>
      </c>
      <c r="M3" s="20" t="s">
        <v>118</v>
      </c>
    </row>
    <row r="4" spans="1:15" x14ac:dyDescent="0.25">
      <c r="A4" s="20" t="s">
        <v>36</v>
      </c>
      <c r="B4" s="20">
        <v>1</v>
      </c>
      <c r="C4" s="20" t="s">
        <v>119</v>
      </c>
      <c r="D4" s="20" t="s">
        <v>120</v>
      </c>
      <c r="E4" s="20" t="s">
        <v>121</v>
      </c>
      <c r="F4" s="20">
        <f>COUNTIF(Fact_Matches!$F$2:$F$49,C4)+COUNTIF(Fact_Matches!$I$2:$I$49,C4)</f>
        <v>5</v>
      </c>
      <c r="G4" s="20">
        <f>COUNTIF(Fact_Matches!$J$2:$J$49,C4)</f>
        <v>4</v>
      </c>
      <c r="H4" s="20">
        <f t="shared" si="0"/>
        <v>1</v>
      </c>
      <c r="I4" s="20">
        <f>SUMIF(Fact_Matches!$F$2:$F$49,C4,Fact_Matches!$G$2:$G$49)+SUMIF(Fact_Matches!$I$2:$I$49,C4,Fact_Matches!$H$2:$H$49)</f>
        <v>52</v>
      </c>
      <c r="J4" s="20">
        <f>SUMIF(Fact_Matches!$F$2:$F$49,C4,Fact_Matches!$H$2:$H$49)+SUMIF(Fact_Matches!$I$2:$I$49,C4,Fact_Matches!$G$2:$G$49)</f>
        <v>25</v>
      </c>
      <c r="K4" s="20">
        <f t="shared" si="1"/>
        <v>27</v>
      </c>
      <c r="L4" s="21">
        <f t="shared" si="2"/>
        <v>0.8</v>
      </c>
      <c r="M4" s="20" t="s">
        <v>122</v>
      </c>
    </row>
    <row r="5" spans="1:15" x14ac:dyDescent="0.25">
      <c r="A5" s="20" t="s">
        <v>36</v>
      </c>
      <c r="B5" s="20">
        <v>4</v>
      </c>
      <c r="C5" s="20" t="s">
        <v>123</v>
      </c>
      <c r="D5" s="20" t="s">
        <v>124</v>
      </c>
      <c r="E5" s="20" t="s">
        <v>125</v>
      </c>
      <c r="F5" s="20">
        <f>COUNTIF(Fact_Matches!$F$2:$F$49,C5)+COUNTIF(Fact_Matches!$I$2:$I$49,C5)</f>
        <v>6</v>
      </c>
      <c r="G5" s="20">
        <f>COUNTIF(Fact_Matches!$J$2:$J$49,C5)</f>
        <v>4</v>
      </c>
      <c r="H5" s="20">
        <f t="shared" si="0"/>
        <v>2</v>
      </c>
      <c r="I5" s="20">
        <f>SUMIF(Fact_Matches!$F$2:$F$49,C5,Fact_Matches!$G$2:$G$49)+SUMIF(Fact_Matches!$I$2:$I$49,C5,Fact_Matches!$H$2:$H$49)</f>
        <v>62</v>
      </c>
      <c r="J5" s="20">
        <f>SUMIF(Fact_Matches!$F$2:$F$49,C5,Fact_Matches!$H$2:$H$49)+SUMIF(Fact_Matches!$I$2:$I$49,C5,Fact_Matches!$G$2:$G$49)</f>
        <v>37</v>
      </c>
      <c r="K5" s="20">
        <f t="shared" si="1"/>
        <v>25</v>
      </c>
      <c r="L5" s="21">
        <f t="shared" si="2"/>
        <v>0.66666666666666663</v>
      </c>
      <c r="M5" s="20" t="s">
        <v>118</v>
      </c>
    </row>
    <row r="6" spans="1:15" x14ac:dyDescent="0.25">
      <c r="A6" s="20" t="s">
        <v>35</v>
      </c>
      <c r="B6" s="20">
        <v>6</v>
      </c>
      <c r="C6" s="20" t="s">
        <v>126</v>
      </c>
      <c r="D6" s="20" t="s">
        <v>127</v>
      </c>
      <c r="E6" s="20" t="s">
        <v>125</v>
      </c>
      <c r="F6" s="20">
        <f>COUNTIF(Fact_Matches!$F$2:$F$49,C6)+COUNTIF(Fact_Matches!$I$2:$I$49,C6)</f>
        <v>5</v>
      </c>
      <c r="G6" s="20">
        <f>COUNTIF(Fact_Matches!$J$2:$J$49,C6)</f>
        <v>4</v>
      </c>
      <c r="H6" s="20">
        <f t="shared" si="0"/>
        <v>1</v>
      </c>
      <c r="I6" s="20">
        <f>SUMIF(Fact_Matches!$F$2:$F$49,C6,Fact_Matches!$G$2:$G$49)+SUMIF(Fact_Matches!$I$2:$I$49,C6,Fact_Matches!$H$2:$H$49)</f>
        <v>52</v>
      </c>
      <c r="J6" s="20">
        <f>SUMIF(Fact_Matches!$F$2:$F$49,C6,Fact_Matches!$H$2:$H$49)+SUMIF(Fact_Matches!$I$2:$I$49,C6,Fact_Matches!$G$2:$G$49)</f>
        <v>28</v>
      </c>
      <c r="K6" s="20">
        <f t="shared" si="1"/>
        <v>24</v>
      </c>
      <c r="L6" s="21">
        <f t="shared" si="2"/>
        <v>0.8</v>
      </c>
      <c r="M6" s="20" t="s">
        <v>114</v>
      </c>
    </row>
    <row r="7" spans="1:15" x14ac:dyDescent="0.25">
      <c r="A7" s="20" t="s">
        <v>36</v>
      </c>
      <c r="B7" s="20">
        <v>3</v>
      </c>
      <c r="C7" s="20" t="s">
        <v>128</v>
      </c>
      <c r="D7" s="20" t="s">
        <v>129</v>
      </c>
      <c r="E7" s="20" t="s">
        <v>117</v>
      </c>
      <c r="F7" s="20">
        <f>COUNTIF(Fact_Matches!$F$2:$F$49,C7)+COUNTIF(Fact_Matches!$I$2:$I$49,C7)</f>
        <v>4</v>
      </c>
      <c r="G7" s="20">
        <f>COUNTIF(Fact_Matches!$J$2:$J$49,C7)</f>
        <v>3</v>
      </c>
      <c r="H7" s="20">
        <f t="shared" si="0"/>
        <v>1</v>
      </c>
      <c r="I7" s="20">
        <f>SUMIF(Fact_Matches!$F$2:$F$49,C7,Fact_Matches!$G$2:$G$49)+SUMIF(Fact_Matches!$I$2:$I$49,C7,Fact_Matches!$H$2:$H$49)</f>
        <v>41</v>
      </c>
      <c r="J7" s="20">
        <f>SUMIF(Fact_Matches!$F$2:$F$49,C7,Fact_Matches!$H$2:$H$49)+SUMIF(Fact_Matches!$I$2:$I$49,C7,Fact_Matches!$G$2:$G$49)</f>
        <v>21</v>
      </c>
      <c r="K7" s="20">
        <f t="shared" si="1"/>
        <v>20</v>
      </c>
      <c r="L7" s="21">
        <f t="shared" si="2"/>
        <v>0.75</v>
      </c>
      <c r="M7" s="20" t="s">
        <v>130</v>
      </c>
    </row>
    <row r="8" spans="1:15" x14ac:dyDescent="0.25">
      <c r="A8" s="20" t="s">
        <v>36</v>
      </c>
      <c r="B8" s="20">
        <v>7</v>
      </c>
      <c r="C8" s="20" t="s">
        <v>131</v>
      </c>
      <c r="D8" s="20" t="s">
        <v>132</v>
      </c>
      <c r="E8" s="20" t="s">
        <v>125</v>
      </c>
      <c r="F8" s="20">
        <f>COUNTIF(Fact_Matches!$F$2:$F$49,C8)+COUNTIF(Fact_Matches!$I$2:$I$49,C8)</f>
        <v>4</v>
      </c>
      <c r="G8" s="20">
        <f>COUNTIF(Fact_Matches!$J$2:$J$49,C8)</f>
        <v>3</v>
      </c>
      <c r="H8" s="20">
        <f t="shared" si="0"/>
        <v>1</v>
      </c>
      <c r="I8" s="20">
        <f>SUMIF(Fact_Matches!$F$2:$F$49,C8,Fact_Matches!$G$2:$G$49)+SUMIF(Fact_Matches!$I$2:$I$49,C8,Fact_Matches!$H$2:$H$49)</f>
        <v>43</v>
      </c>
      <c r="J8" s="20">
        <f>SUMIF(Fact_Matches!$F$2:$F$49,C8,Fact_Matches!$H$2:$H$49)+SUMIF(Fact_Matches!$I$2:$I$49,C8,Fact_Matches!$G$2:$G$49)</f>
        <v>26</v>
      </c>
      <c r="K8" s="20">
        <f t="shared" si="1"/>
        <v>17</v>
      </c>
      <c r="L8" s="21">
        <f t="shared" si="2"/>
        <v>0.75</v>
      </c>
      <c r="M8" s="20" t="s">
        <v>130</v>
      </c>
    </row>
    <row r="9" spans="1:15" x14ac:dyDescent="0.25">
      <c r="A9" s="20" t="s">
        <v>36</v>
      </c>
      <c r="B9" s="20">
        <v>13</v>
      </c>
      <c r="C9" s="20" t="s">
        <v>133</v>
      </c>
      <c r="D9" s="20" t="s">
        <v>134</v>
      </c>
      <c r="E9" s="20" t="s">
        <v>117</v>
      </c>
      <c r="F9" s="20">
        <f>COUNTIF(Fact_Matches!$F$2:$F$49,C9)+COUNTIF(Fact_Matches!$I$2:$I$49,C9)</f>
        <v>6</v>
      </c>
      <c r="G9" s="20">
        <f>COUNTIF(Fact_Matches!$J$2:$J$49,C9)</f>
        <v>3</v>
      </c>
      <c r="H9" s="20">
        <f t="shared" si="0"/>
        <v>3</v>
      </c>
      <c r="I9" s="20">
        <f>SUMIF(Fact_Matches!$F$2:$F$49,C9,Fact_Matches!$G$2:$G$49)+SUMIF(Fact_Matches!$I$2:$I$49,C9,Fact_Matches!$H$2:$H$49)</f>
        <v>50</v>
      </c>
      <c r="J9" s="20">
        <f>SUMIF(Fact_Matches!$F$2:$F$49,C9,Fact_Matches!$H$2:$H$49)+SUMIF(Fact_Matches!$I$2:$I$49,C9,Fact_Matches!$G$2:$G$49)</f>
        <v>41</v>
      </c>
      <c r="K9" s="20">
        <f t="shared" si="1"/>
        <v>9</v>
      </c>
      <c r="L9" s="21">
        <f t="shared" si="2"/>
        <v>0.5</v>
      </c>
      <c r="M9" s="20" t="s">
        <v>135</v>
      </c>
    </row>
    <row r="10" spans="1:15" x14ac:dyDescent="0.25">
      <c r="A10" s="20" t="s">
        <v>35</v>
      </c>
      <c r="B10" s="20">
        <v>5</v>
      </c>
      <c r="C10" s="20" t="s">
        <v>136</v>
      </c>
      <c r="D10" s="20" t="s">
        <v>137</v>
      </c>
      <c r="E10" s="20" t="s">
        <v>125</v>
      </c>
      <c r="F10" s="20">
        <f>COUNTIF(Fact_Matches!$F$2:$F$49,C10)+COUNTIF(Fact_Matches!$I$2:$I$49,C10)</f>
        <v>5</v>
      </c>
      <c r="G10" s="20">
        <f>COUNTIF(Fact_Matches!$J$2:$J$49,C10)</f>
        <v>3</v>
      </c>
      <c r="H10" s="20">
        <f t="shared" si="0"/>
        <v>2</v>
      </c>
      <c r="I10" s="20">
        <f>SUMIF(Fact_Matches!$F$2:$F$49,C10,Fact_Matches!$G$2:$G$49)+SUMIF(Fact_Matches!$I$2:$I$49,C10,Fact_Matches!$H$2:$H$49)</f>
        <v>44</v>
      </c>
      <c r="J10" s="20">
        <f>SUMIF(Fact_Matches!$F$2:$F$49,C10,Fact_Matches!$H$2:$H$49)+SUMIF(Fact_Matches!$I$2:$I$49,C10,Fact_Matches!$G$2:$G$49)</f>
        <v>38</v>
      </c>
      <c r="K10" s="20">
        <f t="shared" si="1"/>
        <v>6</v>
      </c>
      <c r="L10" s="21">
        <f t="shared" si="2"/>
        <v>0.6</v>
      </c>
      <c r="M10" s="20" t="s">
        <v>122</v>
      </c>
    </row>
    <row r="11" spans="1:15" x14ac:dyDescent="0.25">
      <c r="A11" s="20" t="s">
        <v>35</v>
      </c>
      <c r="B11" s="20">
        <v>8</v>
      </c>
      <c r="C11" s="20" t="s">
        <v>138</v>
      </c>
      <c r="D11" s="20" t="s">
        <v>139</v>
      </c>
      <c r="E11" s="20" t="s">
        <v>125</v>
      </c>
      <c r="F11" s="20">
        <f>COUNTIF(Fact_Matches!$F$2:$F$49,C11)+COUNTIF(Fact_Matches!$I$2:$I$49,C11)</f>
        <v>3</v>
      </c>
      <c r="G11" s="20">
        <f>COUNTIF(Fact_Matches!$J$2:$J$49,C11)</f>
        <v>2</v>
      </c>
      <c r="H11" s="20">
        <f t="shared" si="0"/>
        <v>1</v>
      </c>
      <c r="I11" s="20">
        <f>SUMIF(Fact_Matches!$F$2:$F$49,C11,Fact_Matches!$G$2:$G$49)+SUMIF(Fact_Matches!$I$2:$I$49,C11,Fact_Matches!$H$2:$H$49)</f>
        <v>27</v>
      </c>
      <c r="J11" s="20">
        <f>SUMIF(Fact_Matches!$F$2:$F$49,C11,Fact_Matches!$H$2:$H$49)+SUMIF(Fact_Matches!$I$2:$I$49,C11,Fact_Matches!$G$2:$G$49)</f>
        <v>21</v>
      </c>
      <c r="K11" s="20">
        <f t="shared" si="1"/>
        <v>6</v>
      </c>
      <c r="L11" s="21">
        <f t="shared" si="2"/>
        <v>0.66666666666666663</v>
      </c>
      <c r="M11" s="20" t="s">
        <v>140</v>
      </c>
    </row>
    <row r="12" spans="1:15" x14ac:dyDescent="0.25">
      <c r="A12" s="20" t="s">
        <v>35</v>
      </c>
      <c r="B12" s="20">
        <v>4</v>
      </c>
      <c r="C12" s="20" t="s">
        <v>141</v>
      </c>
      <c r="D12" s="20" t="s">
        <v>142</v>
      </c>
      <c r="E12" s="20" t="s">
        <v>117</v>
      </c>
      <c r="F12" s="20">
        <f>COUNTIF(Fact_Matches!$F$2:$F$49,C12)+COUNTIF(Fact_Matches!$I$2:$I$49,C12)</f>
        <v>3</v>
      </c>
      <c r="G12" s="20">
        <f>COUNTIF(Fact_Matches!$J$2:$J$49,C12)</f>
        <v>1</v>
      </c>
      <c r="H12" s="20">
        <f t="shared" si="0"/>
        <v>2</v>
      </c>
      <c r="I12" s="20">
        <f>SUMIF(Fact_Matches!$F$2:$F$49,C12,Fact_Matches!$G$2:$G$49)+SUMIF(Fact_Matches!$I$2:$I$49,C12,Fact_Matches!$H$2:$H$49)</f>
        <v>23</v>
      </c>
      <c r="J12" s="20">
        <f>SUMIF(Fact_Matches!$F$2:$F$49,C12,Fact_Matches!$H$2:$H$49)+SUMIF(Fact_Matches!$I$2:$I$49,C12,Fact_Matches!$G$2:$G$49)</f>
        <v>24</v>
      </c>
      <c r="K12" s="20">
        <f t="shared" si="1"/>
        <v>-1</v>
      </c>
      <c r="L12" s="21">
        <f t="shared" si="2"/>
        <v>0.33333333333333331</v>
      </c>
      <c r="M12" s="20" t="s">
        <v>140</v>
      </c>
    </row>
    <row r="13" spans="1:15" x14ac:dyDescent="0.25">
      <c r="A13" s="20" t="s">
        <v>36</v>
      </c>
      <c r="B13" s="20">
        <v>5</v>
      </c>
      <c r="C13" s="20" t="s">
        <v>143</v>
      </c>
      <c r="D13" s="20" t="s">
        <v>144</v>
      </c>
      <c r="E13" s="20" t="s">
        <v>113</v>
      </c>
      <c r="F13" s="20">
        <f>COUNTIF(Fact_Matches!$F$2:$F$49,C13)+COUNTIF(Fact_Matches!$I$2:$I$49,C13)</f>
        <v>3</v>
      </c>
      <c r="G13" s="20">
        <f>COUNTIF(Fact_Matches!$J$2:$J$49,C13)</f>
        <v>1</v>
      </c>
      <c r="H13" s="20">
        <f t="shared" si="0"/>
        <v>2</v>
      </c>
      <c r="I13" s="20">
        <f>SUMIF(Fact_Matches!$F$2:$F$49,C13,Fact_Matches!$G$2:$G$49)+SUMIF(Fact_Matches!$I$2:$I$49,C13,Fact_Matches!$H$2:$H$49)</f>
        <v>18</v>
      </c>
      <c r="J13" s="20">
        <f>SUMIF(Fact_Matches!$F$2:$F$49,C13,Fact_Matches!$H$2:$H$49)+SUMIF(Fact_Matches!$I$2:$I$49,C13,Fact_Matches!$G$2:$G$49)</f>
        <v>24</v>
      </c>
      <c r="K13" s="20">
        <f t="shared" si="1"/>
        <v>-6</v>
      </c>
      <c r="L13" s="21">
        <f t="shared" si="2"/>
        <v>0.33333333333333331</v>
      </c>
      <c r="M13" s="20" t="s">
        <v>130</v>
      </c>
    </row>
    <row r="14" spans="1:15" x14ac:dyDescent="0.25">
      <c r="A14" s="20" t="s">
        <v>36</v>
      </c>
      <c r="B14" s="20">
        <v>14</v>
      </c>
      <c r="C14" s="20" t="s">
        <v>145</v>
      </c>
      <c r="D14" s="20" t="s">
        <v>146</v>
      </c>
      <c r="E14" s="20" t="s">
        <v>125</v>
      </c>
      <c r="F14" s="20">
        <f>COUNTIF(Fact_Matches!$F$2:$F$49,C14)+COUNTIF(Fact_Matches!$I$2:$I$49,C14)</f>
        <v>3</v>
      </c>
      <c r="G14" s="20">
        <f>COUNTIF(Fact_Matches!$J$2:$J$49,C14)</f>
        <v>1</v>
      </c>
      <c r="H14" s="20">
        <f t="shared" si="0"/>
        <v>2</v>
      </c>
      <c r="I14" s="20">
        <f>SUMIF(Fact_Matches!$F$2:$F$49,C14,Fact_Matches!$G$2:$G$49)+SUMIF(Fact_Matches!$I$2:$I$49,C14,Fact_Matches!$H$2:$H$49)</f>
        <v>15</v>
      </c>
      <c r="J14" s="20">
        <f>SUMIF(Fact_Matches!$F$2:$F$49,C14,Fact_Matches!$H$2:$H$49)+SUMIF(Fact_Matches!$I$2:$I$49,C14,Fact_Matches!$G$2:$G$49)</f>
        <v>22</v>
      </c>
      <c r="K14" s="20">
        <f t="shared" si="1"/>
        <v>-7</v>
      </c>
      <c r="L14" s="21">
        <f t="shared" si="2"/>
        <v>0.33333333333333331</v>
      </c>
      <c r="M14" s="20" t="s">
        <v>140</v>
      </c>
    </row>
    <row r="15" spans="1:15" x14ac:dyDescent="0.25">
      <c r="A15" s="20" t="s">
        <v>36</v>
      </c>
      <c r="B15" s="20">
        <v>12</v>
      </c>
      <c r="C15" s="20" t="s">
        <v>147</v>
      </c>
      <c r="D15" s="20" t="s">
        <v>148</v>
      </c>
      <c r="E15" s="20" t="s">
        <v>117</v>
      </c>
      <c r="F15" s="20">
        <f>COUNTIF(Fact_Matches!$F$2:$F$49,C15)+COUNTIF(Fact_Matches!$I$2:$I$49,C15)</f>
        <v>3</v>
      </c>
      <c r="G15" s="20">
        <f>COUNTIF(Fact_Matches!$J$2:$J$49,C15)</f>
        <v>1</v>
      </c>
      <c r="H15" s="20">
        <f t="shared" si="0"/>
        <v>2</v>
      </c>
      <c r="I15" s="20">
        <f>SUMIF(Fact_Matches!$F$2:$F$49,C15,Fact_Matches!$G$2:$G$49)+SUMIF(Fact_Matches!$I$2:$I$49,C15,Fact_Matches!$H$2:$H$49)</f>
        <v>14</v>
      </c>
      <c r="J15" s="20">
        <f>SUMIF(Fact_Matches!$F$2:$F$49,C15,Fact_Matches!$H$2:$H$49)+SUMIF(Fact_Matches!$I$2:$I$49,C15,Fact_Matches!$G$2:$G$49)</f>
        <v>22</v>
      </c>
      <c r="K15" s="20">
        <f t="shared" si="1"/>
        <v>-8</v>
      </c>
      <c r="L15" s="21">
        <f t="shared" si="2"/>
        <v>0.33333333333333331</v>
      </c>
      <c r="M15" s="20" t="s">
        <v>140</v>
      </c>
    </row>
    <row r="16" spans="1:15" x14ac:dyDescent="0.25">
      <c r="A16" s="20" t="s">
        <v>36</v>
      </c>
      <c r="B16" s="20">
        <v>6</v>
      </c>
      <c r="C16" s="20" t="s">
        <v>149</v>
      </c>
      <c r="D16" s="20" t="s">
        <v>150</v>
      </c>
      <c r="E16" s="20" t="s">
        <v>121</v>
      </c>
      <c r="F16" s="20">
        <f>COUNTIF(Fact_Matches!$F$2:$F$49,C16)+COUNTIF(Fact_Matches!$I$2:$I$49,C16)</f>
        <v>3</v>
      </c>
      <c r="G16" s="20">
        <f>COUNTIF(Fact_Matches!$J$2:$J$49,C16)</f>
        <v>1</v>
      </c>
      <c r="H16" s="20">
        <f t="shared" si="0"/>
        <v>2</v>
      </c>
      <c r="I16" s="20">
        <f>SUMIF(Fact_Matches!$F$2:$F$49,C16,Fact_Matches!$G$2:$G$49)+SUMIF(Fact_Matches!$I$2:$I$49,C16,Fact_Matches!$H$2:$H$49)</f>
        <v>15</v>
      </c>
      <c r="J16" s="20">
        <f>SUMIF(Fact_Matches!$F$2:$F$49,C16,Fact_Matches!$H$2:$H$49)+SUMIF(Fact_Matches!$I$2:$I$49,C16,Fact_Matches!$G$2:$G$49)</f>
        <v>24</v>
      </c>
      <c r="K16" s="20">
        <f t="shared" si="1"/>
        <v>-9</v>
      </c>
      <c r="L16" s="21">
        <f t="shared" si="2"/>
        <v>0.33333333333333331</v>
      </c>
      <c r="M16" s="20" t="s">
        <v>130</v>
      </c>
    </row>
    <row r="17" spans="1:13" x14ac:dyDescent="0.25">
      <c r="A17" s="20" t="s">
        <v>36</v>
      </c>
      <c r="B17" s="20">
        <v>8</v>
      </c>
      <c r="C17" s="20" t="s">
        <v>151</v>
      </c>
      <c r="D17" s="20" t="s">
        <v>152</v>
      </c>
      <c r="E17" s="20" t="s">
        <v>121</v>
      </c>
      <c r="F17" s="20">
        <f>COUNTIF(Fact_Matches!$F$2:$F$49,C17)+COUNTIF(Fact_Matches!$I$2:$I$49,C17)</f>
        <v>2</v>
      </c>
      <c r="G17" s="20">
        <f>COUNTIF(Fact_Matches!$J$2:$J$49,C17)</f>
        <v>0</v>
      </c>
      <c r="H17" s="20">
        <f t="shared" si="0"/>
        <v>2</v>
      </c>
      <c r="I17" s="20">
        <f>SUMIF(Fact_Matches!$F$2:$F$49,C17,Fact_Matches!$G$2:$G$49)+SUMIF(Fact_Matches!$I$2:$I$49,C17,Fact_Matches!$H$2:$H$49)</f>
        <v>7</v>
      </c>
      <c r="J17" s="20">
        <f>SUMIF(Fact_Matches!$F$2:$F$49,C17,Fact_Matches!$H$2:$H$49)+SUMIF(Fact_Matches!$I$2:$I$49,C17,Fact_Matches!$G$2:$G$49)</f>
        <v>22</v>
      </c>
      <c r="K17" s="20">
        <f t="shared" si="1"/>
        <v>-15</v>
      </c>
      <c r="L17" s="21">
        <f t="shared" si="2"/>
        <v>0</v>
      </c>
      <c r="M17" s="20" t="s">
        <v>140</v>
      </c>
    </row>
    <row r="18" spans="1:13" x14ac:dyDescent="0.25">
      <c r="A18" s="20" t="s">
        <v>35</v>
      </c>
      <c r="B18" s="20">
        <v>3</v>
      </c>
      <c r="C18" s="20" t="s">
        <v>153</v>
      </c>
      <c r="D18" s="20" t="s">
        <v>154</v>
      </c>
      <c r="E18" s="20" t="s">
        <v>117</v>
      </c>
      <c r="F18" s="20">
        <f>COUNTIF(Fact_Matches!$F$2:$F$49,C18)+COUNTIF(Fact_Matches!$I$2:$I$49,C18)</f>
        <v>5</v>
      </c>
      <c r="G18" s="20">
        <f>COUNTIF(Fact_Matches!$J$2:$J$49,C18)</f>
        <v>2</v>
      </c>
      <c r="H18" s="20">
        <f t="shared" si="0"/>
        <v>3</v>
      </c>
      <c r="I18" s="20">
        <f>SUMIF(Fact_Matches!$F$2:$F$49,C18,Fact_Matches!$G$2:$G$49)+SUMIF(Fact_Matches!$I$2:$I$49,C18,Fact_Matches!$H$2:$H$49)</f>
        <v>28</v>
      </c>
      <c r="J18" s="20">
        <f>SUMIF(Fact_Matches!$F$2:$F$49,C18,Fact_Matches!$H$2:$H$49)+SUMIF(Fact_Matches!$I$2:$I$49,C18,Fact_Matches!$G$2:$G$49)</f>
        <v>44</v>
      </c>
      <c r="K18" s="20">
        <f t="shared" si="1"/>
        <v>-16</v>
      </c>
      <c r="L18" s="21">
        <f t="shared" si="2"/>
        <v>0.4</v>
      </c>
      <c r="M18" s="20" t="s">
        <v>135</v>
      </c>
    </row>
    <row r="19" spans="1:13" x14ac:dyDescent="0.25">
      <c r="A19" s="20" t="s">
        <v>36</v>
      </c>
      <c r="B19" s="20">
        <v>10</v>
      </c>
      <c r="C19" s="20" t="s">
        <v>155</v>
      </c>
      <c r="D19" s="20" t="s">
        <v>156</v>
      </c>
      <c r="E19" s="20" t="s">
        <v>113</v>
      </c>
      <c r="F19" s="20">
        <f>COUNTIF(Fact_Matches!$F$2:$F$49,C19)+COUNTIF(Fact_Matches!$I$2:$I$49,C19)</f>
        <v>2</v>
      </c>
      <c r="G19" s="20">
        <f>COUNTIF(Fact_Matches!$J$2:$J$49,C19)</f>
        <v>0</v>
      </c>
      <c r="H19" s="20">
        <f t="shared" si="0"/>
        <v>2</v>
      </c>
      <c r="I19" s="20">
        <f>SUMIF(Fact_Matches!$F$2:$F$49,C19,Fact_Matches!$G$2:$G$49)+SUMIF(Fact_Matches!$I$2:$I$49,C19,Fact_Matches!$H$2:$H$49)</f>
        <v>2</v>
      </c>
      <c r="J19" s="20">
        <f>SUMIF(Fact_Matches!$F$2:$F$49,C19,Fact_Matches!$H$2:$H$49)+SUMIF(Fact_Matches!$I$2:$I$49,C19,Fact_Matches!$G$2:$G$49)</f>
        <v>22</v>
      </c>
      <c r="K19" s="20">
        <f t="shared" si="1"/>
        <v>-20</v>
      </c>
      <c r="L19" s="21">
        <f t="shared" si="2"/>
        <v>0</v>
      </c>
      <c r="M19" s="20" t="s">
        <v>140</v>
      </c>
    </row>
    <row r="20" spans="1:13" x14ac:dyDescent="0.25">
      <c r="A20" s="20" t="s">
        <v>35</v>
      </c>
      <c r="B20" s="20">
        <v>2</v>
      </c>
      <c r="C20" s="20" t="s">
        <v>157</v>
      </c>
      <c r="D20" s="20" t="s">
        <v>158</v>
      </c>
      <c r="E20" s="20" t="s">
        <v>125</v>
      </c>
      <c r="F20" s="20">
        <f>COUNTIF(Fact_Matches!$F$2:$F$49,C20)+COUNTIF(Fact_Matches!$I$2:$I$49,C20)</f>
        <v>3</v>
      </c>
      <c r="G20" s="20">
        <f>COUNTIF(Fact_Matches!$J$2:$J$49,C20)</f>
        <v>0</v>
      </c>
      <c r="H20" s="20">
        <f t="shared" si="0"/>
        <v>3</v>
      </c>
      <c r="I20" s="20">
        <f>SUMIF(Fact_Matches!$F$2:$F$49,C20,Fact_Matches!$G$2:$G$49)+SUMIF(Fact_Matches!$I$2:$I$49,C20,Fact_Matches!$H$2:$H$49)</f>
        <v>9</v>
      </c>
      <c r="J20" s="20">
        <f>SUMIF(Fact_Matches!$F$2:$F$49,C20,Fact_Matches!$H$2:$H$49)+SUMIF(Fact_Matches!$I$2:$I$49,C20,Fact_Matches!$G$2:$G$49)</f>
        <v>33</v>
      </c>
      <c r="K20" s="20">
        <f t="shared" si="1"/>
        <v>-24</v>
      </c>
      <c r="L20" s="21">
        <f t="shared" si="2"/>
        <v>0</v>
      </c>
      <c r="M20" s="20" t="s">
        <v>140</v>
      </c>
    </row>
    <row r="21" spans="1:13" x14ac:dyDescent="0.25">
      <c r="A21" s="20" t="s">
        <v>35</v>
      </c>
      <c r="B21" s="20">
        <v>7</v>
      </c>
      <c r="C21" s="20" t="s">
        <v>159</v>
      </c>
      <c r="D21" s="20" t="s">
        <v>160</v>
      </c>
      <c r="E21" s="20" t="s">
        <v>117</v>
      </c>
      <c r="F21" s="20">
        <f>COUNTIF(Fact_Matches!$F$2:$F$49,C21)+COUNTIF(Fact_Matches!$I$2:$I$49,C21)</f>
        <v>3</v>
      </c>
      <c r="G21" s="20">
        <f>COUNTIF(Fact_Matches!$J$2:$J$49,C21)</f>
        <v>0</v>
      </c>
      <c r="H21" s="20">
        <f t="shared" si="0"/>
        <v>3</v>
      </c>
      <c r="I21" s="20">
        <f>SUMIF(Fact_Matches!$F$2:$F$49,C21,Fact_Matches!$G$2:$G$49)+SUMIF(Fact_Matches!$I$2:$I$49,C21,Fact_Matches!$H$2:$H$49)</f>
        <v>6</v>
      </c>
      <c r="J21" s="20">
        <f>SUMIF(Fact_Matches!$F$2:$F$49,C21,Fact_Matches!$H$2:$H$49)+SUMIF(Fact_Matches!$I$2:$I$49,C21,Fact_Matches!$G$2:$G$49)</f>
        <v>33</v>
      </c>
      <c r="K21" s="20">
        <f t="shared" si="1"/>
        <v>-27</v>
      </c>
      <c r="L21" s="21">
        <f t="shared" si="2"/>
        <v>0</v>
      </c>
      <c r="M21" s="20" t="s">
        <v>140</v>
      </c>
    </row>
    <row r="22" spans="1:13" x14ac:dyDescent="0.25">
      <c r="A22" s="20" t="s">
        <v>36</v>
      </c>
      <c r="B22" s="20">
        <v>9</v>
      </c>
      <c r="C22" s="20" t="s">
        <v>161</v>
      </c>
      <c r="D22" s="20" t="s">
        <v>162</v>
      </c>
      <c r="E22" s="20" t="s">
        <v>125</v>
      </c>
      <c r="F22" s="20">
        <f>COUNTIF(Fact_Matches!$F$2:$F$49,C22)+COUNTIF(Fact_Matches!$I$2:$I$49,C22)</f>
        <v>3</v>
      </c>
      <c r="G22" s="20">
        <f>COUNTIF(Fact_Matches!$J$2:$J$49,C22)</f>
        <v>0</v>
      </c>
      <c r="H22" s="20">
        <f t="shared" si="0"/>
        <v>3</v>
      </c>
      <c r="I22" s="20">
        <f>SUMIF(Fact_Matches!$F$2:$F$49,C22,Fact_Matches!$G$2:$G$49)+SUMIF(Fact_Matches!$I$2:$I$49,C22,Fact_Matches!$H$2:$H$49)</f>
        <v>0</v>
      </c>
      <c r="J22" s="20">
        <f>SUMIF(Fact_Matches!$F$2:$F$49,C22,Fact_Matches!$H$2:$H$49)+SUMIF(Fact_Matches!$I$2:$I$49,C22,Fact_Matches!$G$2:$G$49)</f>
        <v>33</v>
      </c>
      <c r="K22" s="20">
        <f t="shared" si="1"/>
        <v>-33</v>
      </c>
      <c r="L22" s="21">
        <f t="shared" si="2"/>
        <v>0</v>
      </c>
      <c r="M22" s="20" t="s">
        <v>140</v>
      </c>
    </row>
    <row r="23" spans="1:13" x14ac:dyDescent="0.25">
      <c r="A23" s="20" t="s">
        <v>36</v>
      </c>
      <c r="B23" s="20">
        <v>11</v>
      </c>
      <c r="C23" s="20" t="s">
        <v>163</v>
      </c>
      <c r="D23" s="20" t="s">
        <v>164</v>
      </c>
      <c r="E23" s="20" t="s">
        <v>117</v>
      </c>
      <c r="F23" s="20">
        <f>COUNTIF(Fact_Matches!$F$2:$F$49,C23)+COUNTIF(Fact_Matches!$I$2:$I$49,C23)</f>
        <v>3</v>
      </c>
      <c r="G23" s="20">
        <f>COUNTIF(Fact_Matches!$J$2:$J$49,C23)</f>
        <v>0</v>
      </c>
      <c r="H23" s="20">
        <f t="shared" si="0"/>
        <v>3</v>
      </c>
      <c r="I23" s="20">
        <f>SUMIF(Fact_Matches!$F$2:$F$49,C23,Fact_Matches!$G$2:$G$49)+SUMIF(Fact_Matches!$I$2:$I$49,C23,Fact_Matches!$H$2:$H$49)</f>
        <v>0</v>
      </c>
      <c r="J23" s="20">
        <f>SUMIF(Fact_Matches!$F$2:$F$49,C23,Fact_Matches!$H$2:$H$49)+SUMIF(Fact_Matches!$I$2:$I$49,C23,Fact_Matches!$G$2:$G$49)</f>
        <v>33</v>
      </c>
      <c r="K23" s="20">
        <f t="shared" si="1"/>
        <v>-33</v>
      </c>
      <c r="L23" s="21">
        <f t="shared" si="2"/>
        <v>0</v>
      </c>
      <c r="M23" s="20" t="s">
        <v>140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0" customWidth="1"/>
    <col min="3" max="3" width="15" customWidth="1"/>
    <col min="4" max="4" width="12" customWidth="1"/>
    <col min="5" max="5" width="8" customWidth="1"/>
    <col min="6" max="6" width="34" customWidth="1"/>
    <col min="7" max="8" width="8" customWidth="1"/>
    <col min="9" max="10" width="34" customWidth="1"/>
    <col min="11" max="12" width="8" customWidth="1"/>
  </cols>
  <sheetData>
    <row r="1" spans="1:12" x14ac:dyDescent="0.25">
      <c r="A1" s="19" t="s">
        <v>165</v>
      </c>
      <c r="B1" s="19" t="s">
        <v>97</v>
      </c>
      <c r="C1" s="19" t="s">
        <v>166</v>
      </c>
      <c r="D1" s="19" t="s">
        <v>167</v>
      </c>
      <c r="E1" s="19" t="s">
        <v>101</v>
      </c>
      <c r="F1" s="19" t="s">
        <v>168</v>
      </c>
      <c r="G1" s="19" t="s">
        <v>169</v>
      </c>
      <c r="H1" s="19" t="s">
        <v>170</v>
      </c>
      <c r="I1" s="19" t="s">
        <v>171</v>
      </c>
      <c r="J1" s="19" t="s">
        <v>172</v>
      </c>
      <c r="K1" s="19" t="s">
        <v>173</v>
      </c>
      <c r="L1" s="19" t="s">
        <v>174</v>
      </c>
    </row>
    <row r="2" spans="1:12" x14ac:dyDescent="0.25">
      <c r="A2" s="20" t="s">
        <v>175</v>
      </c>
      <c r="B2" s="20" t="s">
        <v>35</v>
      </c>
      <c r="C2" s="20" t="s">
        <v>63</v>
      </c>
      <c r="D2" s="20" t="s">
        <v>176</v>
      </c>
      <c r="E2" s="20" t="s">
        <v>117</v>
      </c>
      <c r="F2" s="20" t="s">
        <v>115</v>
      </c>
      <c r="G2" s="20">
        <v>11</v>
      </c>
      <c r="H2" s="20">
        <v>2</v>
      </c>
      <c r="I2" s="20" t="s">
        <v>153</v>
      </c>
      <c r="J2" s="20" t="str">
        <f t="shared" ref="J2:J49" si="0">IF(G2&gt;H2,F2,I2)</f>
        <v>Г1-Т1 Рябошапко / Олейник</v>
      </c>
      <c r="K2" s="20">
        <f t="shared" ref="K2:K49" si="1">ABS(G2-H2)</f>
        <v>9</v>
      </c>
      <c r="L2" s="20">
        <f t="shared" ref="L2:L49" si="2">G2+H2</f>
        <v>13</v>
      </c>
    </row>
    <row r="3" spans="1:12" x14ac:dyDescent="0.25">
      <c r="A3" s="20" t="s">
        <v>177</v>
      </c>
      <c r="B3" s="20" t="s">
        <v>35</v>
      </c>
      <c r="C3" s="20" t="s">
        <v>63</v>
      </c>
      <c r="D3" s="20" t="s">
        <v>176</v>
      </c>
      <c r="E3" s="20" t="s">
        <v>117</v>
      </c>
      <c r="F3" s="20" t="s">
        <v>141</v>
      </c>
      <c r="G3" s="20">
        <v>11</v>
      </c>
      <c r="H3" s="20">
        <v>2</v>
      </c>
      <c r="I3" s="20" t="s">
        <v>159</v>
      </c>
      <c r="J3" s="20" t="str">
        <f t="shared" si="0"/>
        <v>Г1-Т4 Барбінягра / Лапшинський</v>
      </c>
      <c r="K3" s="20">
        <f t="shared" si="1"/>
        <v>9</v>
      </c>
      <c r="L3" s="20">
        <f t="shared" si="2"/>
        <v>13</v>
      </c>
    </row>
    <row r="4" spans="1:12" x14ac:dyDescent="0.25">
      <c r="A4" s="20" t="s">
        <v>178</v>
      </c>
      <c r="B4" s="20" t="s">
        <v>35</v>
      </c>
      <c r="C4" s="20" t="s">
        <v>63</v>
      </c>
      <c r="D4" s="20" t="s">
        <v>179</v>
      </c>
      <c r="E4" s="20" t="s">
        <v>117</v>
      </c>
      <c r="F4" s="20" t="s">
        <v>115</v>
      </c>
      <c r="G4" s="20">
        <v>11</v>
      </c>
      <c r="H4" s="20">
        <v>3</v>
      </c>
      <c r="I4" s="20" t="s">
        <v>141</v>
      </c>
      <c r="J4" s="20" t="str">
        <f t="shared" si="0"/>
        <v>Г1-Т1 Рябошапко / Олейник</v>
      </c>
      <c r="K4" s="20">
        <f t="shared" si="1"/>
        <v>8</v>
      </c>
      <c r="L4" s="20">
        <f t="shared" si="2"/>
        <v>14</v>
      </c>
    </row>
    <row r="5" spans="1:12" x14ac:dyDescent="0.25">
      <c r="A5" s="20" t="s">
        <v>180</v>
      </c>
      <c r="B5" s="20" t="s">
        <v>35</v>
      </c>
      <c r="C5" s="20" t="s">
        <v>63</v>
      </c>
      <c r="D5" s="20" t="s">
        <v>179</v>
      </c>
      <c r="E5" s="20" t="s">
        <v>117</v>
      </c>
      <c r="F5" s="20" t="s">
        <v>153</v>
      </c>
      <c r="G5" s="20">
        <v>11</v>
      </c>
      <c r="H5" s="20">
        <v>2</v>
      </c>
      <c r="I5" s="20" t="s">
        <v>159</v>
      </c>
      <c r="J5" s="20" t="str">
        <f t="shared" si="0"/>
        <v>Г1-Т3 Кутовой / Куліков</v>
      </c>
      <c r="K5" s="20">
        <f t="shared" si="1"/>
        <v>9</v>
      </c>
      <c r="L5" s="20">
        <f t="shared" si="2"/>
        <v>13</v>
      </c>
    </row>
    <row r="6" spans="1:12" x14ac:dyDescent="0.25">
      <c r="A6" s="20" t="s">
        <v>181</v>
      </c>
      <c r="B6" s="20" t="s">
        <v>35</v>
      </c>
      <c r="C6" s="20" t="s">
        <v>63</v>
      </c>
      <c r="D6" s="20" t="s">
        <v>182</v>
      </c>
      <c r="E6" s="20" t="s">
        <v>117</v>
      </c>
      <c r="F6" s="20" t="s">
        <v>115</v>
      </c>
      <c r="G6" s="20">
        <v>11</v>
      </c>
      <c r="H6" s="20">
        <v>2</v>
      </c>
      <c r="I6" s="20" t="s">
        <v>159</v>
      </c>
      <c r="J6" s="20" t="str">
        <f t="shared" si="0"/>
        <v>Г1-Т1 Рябошапко / Олейник</v>
      </c>
      <c r="K6" s="20">
        <f t="shared" si="1"/>
        <v>9</v>
      </c>
      <c r="L6" s="20">
        <f t="shared" si="2"/>
        <v>13</v>
      </c>
    </row>
    <row r="7" spans="1:12" x14ac:dyDescent="0.25">
      <c r="A7" s="20" t="s">
        <v>183</v>
      </c>
      <c r="B7" s="20" t="s">
        <v>35</v>
      </c>
      <c r="C7" s="20" t="s">
        <v>63</v>
      </c>
      <c r="D7" s="20" t="s">
        <v>182</v>
      </c>
      <c r="E7" s="20" t="s">
        <v>117</v>
      </c>
      <c r="F7" s="20" t="s">
        <v>153</v>
      </c>
      <c r="G7" s="20">
        <v>11</v>
      </c>
      <c r="H7" s="20">
        <v>9</v>
      </c>
      <c r="I7" s="20" t="s">
        <v>141</v>
      </c>
      <c r="J7" s="20" t="str">
        <f t="shared" si="0"/>
        <v>Г1-Т3 Кутовой / Куліков</v>
      </c>
      <c r="K7" s="20">
        <f t="shared" si="1"/>
        <v>2</v>
      </c>
      <c r="L7" s="20">
        <f t="shared" si="2"/>
        <v>20</v>
      </c>
    </row>
    <row r="8" spans="1:12" x14ac:dyDescent="0.25">
      <c r="A8" s="20" t="s">
        <v>184</v>
      </c>
      <c r="B8" s="20" t="s">
        <v>35</v>
      </c>
      <c r="C8" s="20" t="s">
        <v>63</v>
      </c>
      <c r="D8" s="20" t="s">
        <v>176</v>
      </c>
      <c r="E8" s="20" t="s">
        <v>125</v>
      </c>
      <c r="F8" s="20" t="s">
        <v>157</v>
      </c>
      <c r="G8" s="20">
        <v>3</v>
      </c>
      <c r="H8" s="20">
        <v>11</v>
      </c>
      <c r="I8" s="20" t="s">
        <v>136</v>
      </c>
      <c r="J8" s="20" t="str">
        <f t="shared" si="0"/>
        <v>Г1-Т5 Бичков / Пархоменко</v>
      </c>
      <c r="K8" s="20">
        <f t="shared" si="1"/>
        <v>8</v>
      </c>
      <c r="L8" s="20">
        <f t="shared" si="2"/>
        <v>14</v>
      </c>
    </row>
    <row r="9" spans="1:12" x14ac:dyDescent="0.25">
      <c r="A9" s="20" t="s">
        <v>185</v>
      </c>
      <c r="B9" s="20" t="s">
        <v>35</v>
      </c>
      <c r="C9" s="20" t="s">
        <v>63</v>
      </c>
      <c r="D9" s="20" t="s">
        <v>176</v>
      </c>
      <c r="E9" s="20" t="s">
        <v>125</v>
      </c>
      <c r="F9" s="20" t="s">
        <v>126</v>
      </c>
      <c r="G9" s="20">
        <v>8</v>
      </c>
      <c r="H9" s="20">
        <v>11</v>
      </c>
      <c r="I9" s="20" t="s">
        <v>138</v>
      </c>
      <c r="J9" s="20" t="str">
        <f t="shared" si="0"/>
        <v>Г1-Т8 Зімін / Папуров</v>
      </c>
      <c r="K9" s="20">
        <f t="shared" si="1"/>
        <v>3</v>
      </c>
      <c r="L9" s="20">
        <f t="shared" si="2"/>
        <v>19</v>
      </c>
    </row>
    <row r="10" spans="1:12" x14ac:dyDescent="0.25">
      <c r="A10" s="20" t="s">
        <v>186</v>
      </c>
      <c r="B10" s="20" t="s">
        <v>35</v>
      </c>
      <c r="C10" s="20" t="s">
        <v>63</v>
      </c>
      <c r="D10" s="20" t="s">
        <v>179</v>
      </c>
      <c r="E10" s="20" t="s">
        <v>125</v>
      </c>
      <c r="F10" s="20" t="s">
        <v>157</v>
      </c>
      <c r="G10" s="20">
        <v>4</v>
      </c>
      <c r="H10" s="20">
        <v>11</v>
      </c>
      <c r="I10" s="20" t="s">
        <v>126</v>
      </c>
      <c r="J10" s="20" t="str">
        <f t="shared" si="0"/>
        <v>Г1-Т6 Довгань / Катеринич О.</v>
      </c>
      <c r="K10" s="20">
        <f t="shared" si="1"/>
        <v>7</v>
      </c>
      <c r="L10" s="20">
        <f t="shared" si="2"/>
        <v>15</v>
      </c>
    </row>
    <row r="11" spans="1:12" x14ac:dyDescent="0.25">
      <c r="A11" s="20" t="s">
        <v>187</v>
      </c>
      <c r="B11" s="20" t="s">
        <v>35</v>
      </c>
      <c r="C11" s="20" t="s">
        <v>63</v>
      </c>
      <c r="D11" s="20" t="s">
        <v>179</v>
      </c>
      <c r="E11" s="20" t="s">
        <v>125</v>
      </c>
      <c r="F11" s="20" t="s">
        <v>136</v>
      </c>
      <c r="G11" s="20">
        <v>11</v>
      </c>
      <c r="H11" s="20">
        <v>5</v>
      </c>
      <c r="I11" s="20" t="s">
        <v>138</v>
      </c>
      <c r="J11" s="20" t="str">
        <f t="shared" si="0"/>
        <v>Г1-Т5 Бичков / Пархоменко</v>
      </c>
      <c r="K11" s="20">
        <f t="shared" si="1"/>
        <v>6</v>
      </c>
      <c r="L11" s="20">
        <f t="shared" si="2"/>
        <v>16</v>
      </c>
    </row>
    <row r="12" spans="1:12" x14ac:dyDescent="0.25">
      <c r="A12" s="20" t="s">
        <v>188</v>
      </c>
      <c r="B12" s="20" t="s">
        <v>35</v>
      </c>
      <c r="C12" s="20" t="s">
        <v>63</v>
      </c>
      <c r="D12" s="20" t="s">
        <v>182</v>
      </c>
      <c r="E12" s="20" t="s">
        <v>125</v>
      </c>
      <c r="F12" s="20" t="s">
        <v>157</v>
      </c>
      <c r="G12" s="20">
        <v>2</v>
      </c>
      <c r="H12" s="20">
        <v>11</v>
      </c>
      <c r="I12" s="20" t="s">
        <v>138</v>
      </c>
      <c r="J12" s="20" t="str">
        <f t="shared" si="0"/>
        <v>Г1-Т8 Зімін / Папуров</v>
      </c>
      <c r="K12" s="20">
        <f t="shared" si="1"/>
        <v>9</v>
      </c>
      <c r="L12" s="20">
        <f t="shared" si="2"/>
        <v>13</v>
      </c>
    </row>
    <row r="13" spans="1:12" x14ac:dyDescent="0.25">
      <c r="A13" s="20" t="s">
        <v>189</v>
      </c>
      <c r="B13" s="20" t="s">
        <v>35</v>
      </c>
      <c r="C13" s="20" t="s">
        <v>63</v>
      </c>
      <c r="D13" s="20" t="s">
        <v>182</v>
      </c>
      <c r="E13" s="20" t="s">
        <v>125</v>
      </c>
      <c r="F13" s="20" t="s">
        <v>136</v>
      </c>
      <c r="G13" s="20">
        <v>4</v>
      </c>
      <c r="H13" s="20">
        <v>11</v>
      </c>
      <c r="I13" s="20" t="s">
        <v>126</v>
      </c>
      <c r="J13" s="20" t="str">
        <f t="shared" si="0"/>
        <v>Г1-Т6 Довгань / Катеринич О.</v>
      </c>
      <c r="K13" s="20">
        <f t="shared" si="1"/>
        <v>7</v>
      </c>
      <c r="L13" s="20">
        <f t="shared" si="2"/>
        <v>15</v>
      </c>
    </row>
    <row r="14" spans="1:12" x14ac:dyDescent="0.25">
      <c r="A14" s="20" t="s">
        <v>190</v>
      </c>
      <c r="B14" s="20" t="s">
        <v>35</v>
      </c>
      <c r="C14" s="20" t="s">
        <v>65</v>
      </c>
      <c r="D14" s="20" t="s">
        <v>191</v>
      </c>
      <c r="E14" s="20"/>
      <c r="F14" s="20" t="s">
        <v>115</v>
      </c>
      <c r="G14" s="20">
        <v>8</v>
      </c>
      <c r="H14" s="20">
        <v>11</v>
      </c>
      <c r="I14" s="20" t="s">
        <v>136</v>
      </c>
      <c r="J14" s="20" t="str">
        <f t="shared" si="0"/>
        <v>Г1-Т5 Бичков / Пархоменко</v>
      </c>
      <c r="K14" s="20">
        <f t="shared" si="1"/>
        <v>3</v>
      </c>
      <c r="L14" s="20">
        <f t="shared" si="2"/>
        <v>19</v>
      </c>
    </row>
    <row r="15" spans="1:12" x14ac:dyDescent="0.25">
      <c r="A15" s="20" t="s">
        <v>192</v>
      </c>
      <c r="B15" s="20" t="s">
        <v>35</v>
      </c>
      <c r="C15" s="20" t="s">
        <v>65</v>
      </c>
      <c r="D15" s="20" t="s">
        <v>191</v>
      </c>
      <c r="E15" s="20"/>
      <c r="F15" s="20" t="s">
        <v>126</v>
      </c>
      <c r="G15" s="20">
        <v>11</v>
      </c>
      <c r="H15" s="20">
        <v>2</v>
      </c>
      <c r="I15" s="20" t="s">
        <v>153</v>
      </c>
      <c r="J15" s="20" t="str">
        <f t="shared" si="0"/>
        <v>Г1-Т6 Довгань / Катеринич О.</v>
      </c>
      <c r="K15" s="20">
        <f t="shared" si="1"/>
        <v>9</v>
      </c>
      <c r="L15" s="20">
        <f t="shared" si="2"/>
        <v>13</v>
      </c>
    </row>
    <row r="16" spans="1:12" x14ac:dyDescent="0.25">
      <c r="A16" s="20" t="s">
        <v>193</v>
      </c>
      <c r="B16" s="20" t="s">
        <v>35</v>
      </c>
      <c r="C16" s="20" t="s">
        <v>65</v>
      </c>
      <c r="D16" s="20" t="s">
        <v>194</v>
      </c>
      <c r="E16" s="20"/>
      <c r="F16" s="20" t="s">
        <v>115</v>
      </c>
      <c r="G16" s="20">
        <v>11</v>
      </c>
      <c r="H16" s="20">
        <v>2</v>
      </c>
      <c r="I16" s="20" t="s">
        <v>153</v>
      </c>
      <c r="J16" s="20" t="str">
        <f t="shared" si="0"/>
        <v>Г1-Т1 Рябошапко / Олейник</v>
      </c>
      <c r="K16" s="20">
        <f t="shared" si="1"/>
        <v>9</v>
      </c>
      <c r="L16" s="20">
        <f t="shared" si="2"/>
        <v>13</v>
      </c>
    </row>
    <row r="17" spans="1:12" x14ac:dyDescent="0.25">
      <c r="A17" s="20" t="s">
        <v>195</v>
      </c>
      <c r="B17" s="20" t="s">
        <v>35</v>
      </c>
      <c r="C17" s="20" t="s">
        <v>65</v>
      </c>
      <c r="D17" s="20" t="s">
        <v>196</v>
      </c>
      <c r="E17" s="20"/>
      <c r="F17" s="20" t="s">
        <v>136</v>
      </c>
      <c r="G17" s="20">
        <v>7</v>
      </c>
      <c r="H17" s="20">
        <v>11</v>
      </c>
      <c r="I17" s="20" t="s">
        <v>126</v>
      </c>
      <c r="J17" s="20" t="str">
        <f t="shared" si="0"/>
        <v>Г1-Т6 Довгань / Катеринич О.</v>
      </c>
      <c r="K17" s="20">
        <f t="shared" si="1"/>
        <v>4</v>
      </c>
      <c r="L17" s="20">
        <f t="shared" si="2"/>
        <v>18</v>
      </c>
    </row>
    <row r="18" spans="1:12" x14ac:dyDescent="0.25">
      <c r="A18" s="20" t="s">
        <v>197</v>
      </c>
      <c r="B18" s="20" t="s">
        <v>36</v>
      </c>
      <c r="C18" s="20" t="s">
        <v>63</v>
      </c>
      <c r="D18" s="20" t="s">
        <v>176</v>
      </c>
      <c r="E18" s="20" t="s">
        <v>117</v>
      </c>
      <c r="F18" s="20" t="s">
        <v>128</v>
      </c>
      <c r="G18" s="20">
        <v>11</v>
      </c>
      <c r="H18" s="20">
        <v>0</v>
      </c>
      <c r="I18" s="20" t="s">
        <v>163</v>
      </c>
      <c r="J18" s="20" t="str">
        <f t="shared" si="0"/>
        <v>Г2-Т3 Концевой / Парфенюк</v>
      </c>
      <c r="K18" s="20">
        <f t="shared" si="1"/>
        <v>11</v>
      </c>
      <c r="L18" s="20">
        <f t="shared" si="2"/>
        <v>11</v>
      </c>
    </row>
    <row r="19" spans="1:12" x14ac:dyDescent="0.25">
      <c r="A19" s="20" t="s">
        <v>198</v>
      </c>
      <c r="B19" s="20" t="s">
        <v>36</v>
      </c>
      <c r="C19" s="20" t="s">
        <v>63</v>
      </c>
      <c r="D19" s="20" t="s">
        <v>176</v>
      </c>
      <c r="E19" s="20" t="s">
        <v>117</v>
      </c>
      <c r="F19" s="20" t="s">
        <v>147</v>
      </c>
      <c r="G19" s="20">
        <v>0</v>
      </c>
      <c r="H19" s="20">
        <v>11</v>
      </c>
      <c r="I19" s="20" t="s">
        <v>133</v>
      </c>
      <c r="J19" s="20" t="str">
        <f t="shared" si="0"/>
        <v>Г2-Т13 Фещук / Гиряк</v>
      </c>
      <c r="K19" s="20">
        <f t="shared" si="1"/>
        <v>11</v>
      </c>
      <c r="L19" s="20">
        <f t="shared" si="2"/>
        <v>11</v>
      </c>
    </row>
    <row r="20" spans="1:12" x14ac:dyDescent="0.25">
      <c r="A20" s="20" t="s">
        <v>199</v>
      </c>
      <c r="B20" s="20" t="s">
        <v>36</v>
      </c>
      <c r="C20" s="20" t="s">
        <v>63</v>
      </c>
      <c r="D20" s="20" t="s">
        <v>179</v>
      </c>
      <c r="E20" s="20" t="s">
        <v>117</v>
      </c>
      <c r="F20" s="20" t="s">
        <v>128</v>
      </c>
      <c r="G20" s="20">
        <v>11</v>
      </c>
      <c r="H20" s="20">
        <v>3</v>
      </c>
      <c r="I20" s="20" t="s">
        <v>147</v>
      </c>
      <c r="J20" s="20" t="str">
        <f t="shared" si="0"/>
        <v>Г2-Т3 Концевой / Парфенюк</v>
      </c>
      <c r="K20" s="20">
        <f t="shared" si="1"/>
        <v>8</v>
      </c>
      <c r="L20" s="20">
        <f t="shared" si="2"/>
        <v>14</v>
      </c>
    </row>
    <row r="21" spans="1:12" x14ac:dyDescent="0.25">
      <c r="A21" s="20" t="s">
        <v>200</v>
      </c>
      <c r="B21" s="20" t="s">
        <v>36</v>
      </c>
      <c r="C21" s="20" t="s">
        <v>63</v>
      </c>
      <c r="D21" s="20" t="s">
        <v>179</v>
      </c>
      <c r="E21" s="20" t="s">
        <v>117</v>
      </c>
      <c r="F21" s="20" t="s">
        <v>163</v>
      </c>
      <c r="G21" s="20">
        <v>0</v>
      </c>
      <c r="H21" s="20">
        <v>11</v>
      </c>
      <c r="I21" s="20" t="s">
        <v>133</v>
      </c>
      <c r="J21" s="20" t="str">
        <f t="shared" si="0"/>
        <v>Г2-Т13 Фещук / Гиряк</v>
      </c>
      <c r="K21" s="20">
        <f t="shared" si="1"/>
        <v>11</v>
      </c>
      <c r="L21" s="20">
        <f t="shared" si="2"/>
        <v>11</v>
      </c>
    </row>
    <row r="22" spans="1:12" x14ac:dyDescent="0.25">
      <c r="A22" s="20" t="s">
        <v>201</v>
      </c>
      <c r="B22" s="20" t="s">
        <v>36</v>
      </c>
      <c r="C22" s="20" t="s">
        <v>63</v>
      </c>
      <c r="D22" s="20" t="s">
        <v>182</v>
      </c>
      <c r="E22" s="20" t="s">
        <v>117</v>
      </c>
      <c r="F22" s="20" t="s">
        <v>128</v>
      </c>
      <c r="G22" s="20">
        <v>11</v>
      </c>
      <c r="H22" s="20">
        <v>7</v>
      </c>
      <c r="I22" s="20" t="s">
        <v>133</v>
      </c>
      <c r="J22" s="20" t="str">
        <f t="shared" si="0"/>
        <v>Г2-Т3 Концевой / Парфенюк</v>
      </c>
      <c r="K22" s="20">
        <f t="shared" si="1"/>
        <v>4</v>
      </c>
      <c r="L22" s="20">
        <f t="shared" si="2"/>
        <v>18</v>
      </c>
    </row>
    <row r="23" spans="1:12" x14ac:dyDescent="0.25">
      <c r="A23" s="20" t="s">
        <v>202</v>
      </c>
      <c r="B23" s="20" t="s">
        <v>36</v>
      </c>
      <c r="C23" s="20" t="s">
        <v>63</v>
      </c>
      <c r="D23" s="20" t="s">
        <v>182</v>
      </c>
      <c r="E23" s="20" t="s">
        <v>117</v>
      </c>
      <c r="F23" s="20" t="s">
        <v>163</v>
      </c>
      <c r="G23" s="20">
        <v>0</v>
      </c>
      <c r="H23" s="20">
        <v>11</v>
      </c>
      <c r="I23" s="20" t="s">
        <v>147</v>
      </c>
      <c r="J23" s="20" t="str">
        <f t="shared" si="0"/>
        <v>Г2-Т12 Делігіоз / Цап</v>
      </c>
      <c r="K23" s="20">
        <f t="shared" si="1"/>
        <v>11</v>
      </c>
      <c r="L23" s="20">
        <f t="shared" si="2"/>
        <v>11</v>
      </c>
    </row>
    <row r="24" spans="1:12" x14ac:dyDescent="0.25">
      <c r="A24" s="20" t="s">
        <v>203</v>
      </c>
      <c r="B24" s="20" t="s">
        <v>36</v>
      </c>
      <c r="C24" s="20" t="s">
        <v>63</v>
      </c>
      <c r="D24" s="20" t="s">
        <v>176</v>
      </c>
      <c r="E24" s="20" t="s">
        <v>125</v>
      </c>
      <c r="F24" s="20" t="s">
        <v>123</v>
      </c>
      <c r="G24" s="20">
        <v>11</v>
      </c>
      <c r="H24" s="20">
        <v>13</v>
      </c>
      <c r="I24" s="20" t="s">
        <v>131</v>
      </c>
      <c r="J24" s="20" t="str">
        <f t="shared" si="0"/>
        <v>Г2-Т7 Орєшин / Грибонос</v>
      </c>
      <c r="K24" s="20">
        <f t="shared" si="1"/>
        <v>2</v>
      </c>
      <c r="L24" s="20">
        <f t="shared" si="2"/>
        <v>24</v>
      </c>
    </row>
    <row r="25" spans="1:12" x14ac:dyDescent="0.25">
      <c r="A25" s="20" t="s">
        <v>204</v>
      </c>
      <c r="B25" s="20" t="s">
        <v>36</v>
      </c>
      <c r="C25" s="20" t="s">
        <v>63</v>
      </c>
      <c r="D25" s="20" t="s">
        <v>176</v>
      </c>
      <c r="E25" s="20" t="s">
        <v>125</v>
      </c>
      <c r="F25" s="20" t="s">
        <v>161</v>
      </c>
      <c r="G25" s="20">
        <v>0</v>
      </c>
      <c r="H25" s="20">
        <v>11</v>
      </c>
      <c r="I25" s="20" t="s">
        <v>145</v>
      </c>
      <c r="J25" s="20" t="str">
        <f t="shared" si="0"/>
        <v>Г2-Т14 Трач / Дучєв</v>
      </c>
      <c r="K25" s="20">
        <f t="shared" si="1"/>
        <v>11</v>
      </c>
      <c r="L25" s="20">
        <f t="shared" si="2"/>
        <v>11</v>
      </c>
    </row>
    <row r="26" spans="1:12" x14ac:dyDescent="0.25">
      <c r="A26" s="20" t="s">
        <v>205</v>
      </c>
      <c r="B26" s="20" t="s">
        <v>36</v>
      </c>
      <c r="C26" s="20" t="s">
        <v>63</v>
      </c>
      <c r="D26" s="20" t="s">
        <v>179</v>
      </c>
      <c r="E26" s="20" t="s">
        <v>125</v>
      </c>
      <c r="F26" s="20" t="s">
        <v>123</v>
      </c>
      <c r="G26" s="20">
        <v>11</v>
      </c>
      <c r="H26" s="20">
        <v>0</v>
      </c>
      <c r="I26" s="20" t="s">
        <v>161</v>
      </c>
      <c r="J26" s="20" t="str">
        <f t="shared" si="0"/>
        <v>Г2-Т4 Тарарака / Татаров</v>
      </c>
      <c r="K26" s="20">
        <f t="shared" si="1"/>
        <v>11</v>
      </c>
      <c r="L26" s="20">
        <f t="shared" si="2"/>
        <v>11</v>
      </c>
    </row>
    <row r="27" spans="1:12" x14ac:dyDescent="0.25">
      <c r="A27" s="20" t="s">
        <v>206</v>
      </c>
      <c r="B27" s="20" t="s">
        <v>36</v>
      </c>
      <c r="C27" s="20" t="s">
        <v>63</v>
      </c>
      <c r="D27" s="20" t="s">
        <v>179</v>
      </c>
      <c r="E27" s="20" t="s">
        <v>125</v>
      </c>
      <c r="F27" s="20" t="s">
        <v>131</v>
      </c>
      <c r="G27" s="20">
        <v>11</v>
      </c>
      <c r="H27" s="20">
        <v>4</v>
      </c>
      <c r="I27" s="20" t="s">
        <v>145</v>
      </c>
      <c r="J27" s="20" t="str">
        <f t="shared" si="0"/>
        <v>Г2-Т7 Орєшин / Грибонос</v>
      </c>
      <c r="K27" s="20">
        <f t="shared" si="1"/>
        <v>7</v>
      </c>
      <c r="L27" s="20">
        <f t="shared" si="2"/>
        <v>15</v>
      </c>
    </row>
    <row r="28" spans="1:12" x14ac:dyDescent="0.25">
      <c r="A28" s="20" t="s">
        <v>207</v>
      </c>
      <c r="B28" s="20" t="s">
        <v>36</v>
      </c>
      <c r="C28" s="20" t="s">
        <v>63</v>
      </c>
      <c r="D28" s="20" t="s">
        <v>182</v>
      </c>
      <c r="E28" s="20" t="s">
        <v>125</v>
      </c>
      <c r="F28" s="20" t="s">
        <v>123</v>
      </c>
      <c r="G28" s="20">
        <v>11</v>
      </c>
      <c r="H28" s="20">
        <v>0</v>
      </c>
      <c r="I28" s="20" t="s">
        <v>145</v>
      </c>
      <c r="J28" s="20" t="str">
        <f t="shared" si="0"/>
        <v>Г2-Т4 Тарарака / Татаров</v>
      </c>
      <c r="K28" s="20">
        <f t="shared" si="1"/>
        <v>11</v>
      </c>
      <c r="L28" s="20">
        <f t="shared" si="2"/>
        <v>11</v>
      </c>
    </row>
    <row r="29" spans="1:12" x14ac:dyDescent="0.25">
      <c r="A29" s="20" t="s">
        <v>208</v>
      </c>
      <c r="B29" s="20" t="s">
        <v>36</v>
      </c>
      <c r="C29" s="20" t="s">
        <v>63</v>
      </c>
      <c r="D29" s="20" t="s">
        <v>182</v>
      </c>
      <c r="E29" s="20" t="s">
        <v>125</v>
      </c>
      <c r="F29" s="20" t="s">
        <v>131</v>
      </c>
      <c r="G29" s="20">
        <v>11</v>
      </c>
      <c r="H29" s="20">
        <v>0</v>
      </c>
      <c r="I29" s="20" t="s">
        <v>161</v>
      </c>
      <c r="J29" s="20" t="str">
        <f t="shared" si="0"/>
        <v>Г2-Т7 Орєшин / Грибонос</v>
      </c>
      <c r="K29" s="20">
        <f t="shared" si="1"/>
        <v>11</v>
      </c>
      <c r="L29" s="20">
        <f t="shared" si="2"/>
        <v>11</v>
      </c>
    </row>
    <row r="30" spans="1:12" x14ac:dyDescent="0.25">
      <c r="A30" s="20" t="s">
        <v>209</v>
      </c>
      <c r="B30" s="20" t="s">
        <v>36</v>
      </c>
      <c r="C30" s="20" t="s">
        <v>63</v>
      </c>
      <c r="D30" s="20" t="s">
        <v>176</v>
      </c>
      <c r="E30" s="20" t="s">
        <v>113</v>
      </c>
      <c r="F30" s="20" t="s">
        <v>111</v>
      </c>
      <c r="G30" s="20">
        <v>11</v>
      </c>
      <c r="H30" s="20">
        <v>5</v>
      </c>
      <c r="I30" s="20" t="s">
        <v>143</v>
      </c>
      <c r="J30" s="20" t="str">
        <f t="shared" si="0"/>
        <v>Г2-Т2 Салабай / Шульга</v>
      </c>
      <c r="K30" s="20">
        <f t="shared" si="1"/>
        <v>6</v>
      </c>
      <c r="L30" s="20">
        <f t="shared" si="2"/>
        <v>16</v>
      </c>
    </row>
    <row r="31" spans="1:12" x14ac:dyDescent="0.25">
      <c r="A31" s="20" t="s">
        <v>210</v>
      </c>
      <c r="B31" s="20" t="s">
        <v>36</v>
      </c>
      <c r="C31" s="20" t="s">
        <v>63</v>
      </c>
      <c r="D31" s="20" t="s">
        <v>179</v>
      </c>
      <c r="E31" s="20" t="s">
        <v>113</v>
      </c>
      <c r="F31" s="20" t="s">
        <v>111</v>
      </c>
      <c r="G31" s="20">
        <v>11</v>
      </c>
      <c r="H31" s="20">
        <v>0</v>
      </c>
      <c r="I31" s="20" t="s">
        <v>155</v>
      </c>
      <c r="J31" s="20" t="str">
        <f t="shared" si="0"/>
        <v>Г2-Т2 Салабай / Шульга</v>
      </c>
      <c r="K31" s="20">
        <f t="shared" si="1"/>
        <v>11</v>
      </c>
      <c r="L31" s="20">
        <f t="shared" si="2"/>
        <v>11</v>
      </c>
    </row>
    <row r="32" spans="1:12" x14ac:dyDescent="0.25">
      <c r="A32" s="20" t="s">
        <v>211</v>
      </c>
      <c r="B32" s="20" t="s">
        <v>36</v>
      </c>
      <c r="C32" s="20" t="s">
        <v>63</v>
      </c>
      <c r="D32" s="20" t="s">
        <v>182</v>
      </c>
      <c r="E32" s="20" t="s">
        <v>113</v>
      </c>
      <c r="F32" s="20" t="s">
        <v>143</v>
      </c>
      <c r="G32" s="20">
        <v>11</v>
      </c>
      <c r="H32" s="20">
        <v>2</v>
      </c>
      <c r="I32" s="20" t="s">
        <v>155</v>
      </c>
      <c r="J32" s="20" t="str">
        <f t="shared" si="0"/>
        <v>Г2-Т5 Прокопович / Кравцов</v>
      </c>
      <c r="K32" s="20">
        <f t="shared" si="1"/>
        <v>9</v>
      </c>
      <c r="L32" s="20">
        <f t="shared" si="2"/>
        <v>13</v>
      </c>
    </row>
    <row r="33" spans="1:12" x14ac:dyDescent="0.25">
      <c r="A33" s="20" t="s">
        <v>212</v>
      </c>
      <c r="B33" s="20" t="s">
        <v>36</v>
      </c>
      <c r="C33" s="20" t="s">
        <v>63</v>
      </c>
      <c r="D33" s="20" t="s">
        <v>176</v>
      </c>
      <c r="E33" s="20" t="s">
        <v>121</v>
      </c>
      <c r="F33" s="20" t="s">
        <v>119</v>
      </c>
      <c r="G33" s="20">
        <v>11</v>
      </c>
      <c r="H33" s="20">
        <v>2</v>
      </c>
      <c r="I33" s="20" t="s">
        <v>149</v>
      </c>
      <c r="J33" s="20" t="str">
        <f t="shared" si="0"/>
        <v>Г2-Т1 Сторожук / Нестерчук</v>
      </c>
      <c r="K33" s="20">
        <f t="shared" si="1"/>
        <v>9</v>
      </c>
      <c r="L33" s="20">
        <f t="shared" si="2"/>
        <v>13</v>
      </c>
    </row>
    <row r="34" spans="1:12" x14ac:dyDescent="0.25">
      <c r="A34" s="20" t="s">
        <v>213</v>
      </c>
      <c r="B34" s="20" t="s">
        <v>36</v>
      </c>
      <c r="C34" s="20" t="s">
        <v>63</v>
      </c>
      <c r="D34" s="20" t="s">
        <v>179</v>
      </c>
      <c r="E34" s="20" t="s">
        <v>121</v>
      </c>
      <c r="F34" s="20" t="s">
        <v>119</v>
      </c>
      <c r="G34" s="20">
        <v>11</v>
      </c>
      <c r="H34" s="20">
        <v>5</v>
      </c>
      <c r="I34" s="20" t="s">
        <v>151</v>
      </c>
      <c r="J34" s="20" t="str">
        <f t="shared" si="0"/>
        <v>Г2-Т1 Сторожук / Нестерчук</v>
      </c>
      <c r="K34" s="20">
        <f t="shared" si="1"/>
        <v>6</v>
      </c>
      <c r="L34" s="20">
        <f t="shared" si="2"/>
        <v>16</v>
      </c>
    </row>
    <row r="35" spans="1:12" x14ac:dyDescent="0.25">
      <c r="A35" s="20" t="s">
        <v>214</v>
      </c>
      <c r="B35" s="20" t="s">
        <v>36</v>
      </c>
      <c r="C35" s="20" t="s">
        <v>63</v>
      </c>
      <c r="D35" s="20" t="s">
        <v>182</v>
      </c>
      <c r="E35" s="20" t="s">
        <v>121</v>
      </c>
      <c r="F35" s="20" t="s">
        <v>149</v>
      </c>
      <c r="G35" s="20">
        <v>11</v>
      </c>
      <c r="H35" s="20">
        <v>2</v>
      </c>
      <c r="I35" s="20" t="s">
        <v>151</v>
      </c>
      <c r="J35" s="20" t="str">
        <f t="shared" si="0"/>
        <v>Г2-Т6 Глухов / Змієвський</v>
      </c>
      <c r="K35" s="20">
        <f t="shared" si="1"/>
        <v>9</v>
      </c>
      <c r="L35" s="20">
        <f t="shared" si="2"/>
        <v>13</v>
      </c>
    </row>
    <row r="36" spans="1:12" x14ac:dyDescent="0.25">
      <c r="A36" s="20" t="s">
        <v>215</v>
      </c>
      <c r="B36" s="20" t="s">
        <v>36</v>
      </c>
      <c r="C36" s="20" t="s">
        <v>65</v>
      </c>
      <c r="D36" s="20" t="s">
        <v>130</v>
      </c>
      <c r="E36" s="20"/>
      <c r="F36" s="20" t="s">
        <v>128</v>
      </c>
      <c r="G36" s="20">
        <v>8</v>
      </c>
      <c r="H36" s="20">
        <v>11</v>
      </c>
      <c r="I36" s="20" t="s">
        <v>123</v>
      </c>
      <c r="J36" s="20" t="str">
        <f t="shared" si="0"/>
        <v>Г2-Т4 Тарарака / Татаров</v>
      </c>
      <c r="K36" s="20">
        <f t="shared" si="1"/>
        <v>3</v>
      </c>
      <c r="L36" s="20">
        <f t="shared" si="2"/>
        <v>19</v>
      </c>
    </row>
    <row r="37" spans="1:12" x14ac:dyDescent="0.25">
      <c r="A37" s="20" t="s">
        <v>216</v>
      </c>
      <c r="B37" s="20" t="s">
        <v>36</v>
      </c>
      <c r="C37" s="20" t="s">
        <v>65</v>
      </c>
      <c r="D37" s="20" t="s">
        <v>130</v>
      </c>
      <c r="E37" s="20"/>
      <c r="F37" s="20" t="s">
        <v>111</v>
      </c>
      <c r="G37" s="20">
        <v>11</v>
      </c>
      <c r="H37" s="20">
        <v>2</v>
      </c>
      <c r="I37" s="20" t="s">
        <v>149</v>
      </c>
      <c r="J37" s="20" t="str">
        <f t="shared" si="0"/>
        <v>Г2-Т2 Салабай / Шульга</v>
      </c>
      <c r="K37" s="20">
        <f t="shared" si="1"/>
        <v>9</v>
      </c>
      <c r="L37" s="20">
        <f t="shared" si="2"/>
        <v>13</v>
      </c>
    </row>
    <row r="38" spans="1:12" x14ac:dyDescent="0.25">
      <c r="A38" s="20" t="s">
        <v>217</v>
      </c>
      <c r="B38" s="20" t="s">
        <v>36</v>
      </c>
      <c r="C38" s="20" t="s">
        <v>65</v>
      </c>
      <c r="D38" s="20" t="s">
        <v>130</v>
      </c>
      <c r="E38" s="20"/>
      <c r="F38" s="20" t="s">
        <v>131</v>
      </c>
      <c r="G38" s="20">
        <v>8</v>
      </c>
      <c r="H38" s="20">
        <v>11</v>
      </c>
      <c r="I38" s="20" t="s">
        <v>133</v>
      </c>
      <c r="J38" s="20" t="str">
        <f t="shared" si="0"/>
        <v>Г2-Т13 Фещук / Гиряк</v>
      </c>
      <c r="K38" s="20">
        <f t="shared" si="1"/>
        <v>3</v>
      </c>
      <c r="L38" s="20">
        <f t="shared" si="2"/>
        <v>19</v>
      </c>
    </row>
    <row r="39" spans="1:12" x14ac:dyDescent="0.25">
      <c r="A39" s="20" t="s">
        <v>218</v>
      </c>
      <c r="B39" s="20" t="s">
        <v>36</v>
      </c>
      <c r="C39" s="20" t="s">
        <v>65</v>
      </c>
      <c r="D39" s="20" t="s">
        <v>130</v>
      </c>
      <c r="E39" s="20"/>
      <c r="F39" s="20" t="s">
        <v>119</v>
      </c>
      <c r="G39" s="20">
        <v>11</v>
      </c>
      <c r="H39" s="20">
        <v>2</v>
      </c>
      <c r="I39" s="20" t="s">
        <v>143</v>
      </c>
      <c r="J39" s="20" t="str">
        <f t="shared" si="0"/>
        <v>Г2-Т1 Сторожук / Нестерчук</v>
      </c>
      <c r="K39" s="20">
        <f t="shared" si="1"/>
        <v>9</v>
      </c>
      <c r="L39" s="20">
        <f t="shared" si="2"/>
        <v>13</v>
      </c>
    </row>
    <row r="40" spans="1:12" x14ac:dyDescent="0.25">
      <c r="A40" s="20" t="s">
        <v>219</v>
      </c>
      <c r="B40" s="20" t="s">
        <v>36</v>
      </c>
      <c r="C40" s="20" t="s">
        <v>65</v>
      </c>
      <c r="D40" s="20" t="s">
        <v>191</v>
      </c>
      <c r="E40" s="20"/>
      <c r="F40" s="20" t="s">
        <v>123</v>
      </c>
      <c r="G40" s="20">
        <v>7</v>
      </c>
      <c r="H40" s="20">
        <v>11</v>
      </c>
      <c r="I40" s="20" t="s">
        <v>111</v>
      </c>
      <c r="J40" s="20" t="str">
        <f t="shared" si="0"/>
        <v>Г2-Т2 Салабай / Шульга</v>
      </c>
      <c r="K40" s="20">
        <f t="shared" si="1"/>
        <v>4</v>
      </c>
      <c r="L40" s="20">
        <f t="shared" si="2"/>
        <v>18</v>
      </c>
    </row>
    <row r="41" spans="1:12" x14ac:dyDescent="0.25">
      <c r="A41" s="20" t="s">
        <v>220</v>
      </c>
      <c r="B41" s="20" t="s">
        <v>36</v>
      </c>
      <c r="C41" s="20" t="s">
        <v>65</v>
      </c>
      <c r="D41" s="20" t="s">
        <v>191</v>
      </c>
      <c r="E41" s="20"/>
      <c r="F41" s="20" t="s">
        <v>133</v>
      </c>
      <c r="G41" s="20">
        <v>5</v>
      </c>
      <c r="H41" s="20">
        <v>11</v>
      </c>
      <c r="I41" s="20" t="s">
        <v>119</v>
      </c>
      <c r="J41" s="20" t="str">
        <f t="shared" si="0"/>
        <v>Г2-Т1 Сторожук / Нестерчук</v>
      </c>
      <c r="K41" s="20">
        <f t="shared" si="1"/>
        <v>6</v>
      </c>
      <c r="L41" s="20">
        <f t="shared" si="2"/>
        <v>16</v>
      </c>
    </row>
    <row r="42" spans="1:12" x14ac:dyDescent="0.25">
      <c r="A42" s="20" t="s">
        <v>221</v>
      </c>
      <c r="B42" s="20" t="s">
        <v>36</v>
      </c>
      <c r="C42" s="20" t="s">
        <v>65</v>
      </c>
      <c r="D42" s="20" t="s">
        <v>194</v>
      </c>
      <c r="E42" s="20"/>
      <c r="F42" s="20" t="s">
        <v>123</v>
      </c>
      <c r="G42" s="20">
        <v>11</v>
      </c>
      <c r="H42" s="20">
        <v>5</v>
      </c>
      <c r="I42" s="20" t="s">
        <v>133</v>
      </c>
      <c r="J42" s="20" t="str">
        <f t="shared" si="0"/>
        <v>Г2-Т4 Тарарака / Татаров</v>
      </c>
      <c r="K42" s="20">
        <f t="shared" si="1"/>
        <v>6</v>
      </c>
      <c r="L42" s="20">
        <f t="shared" si="2"/>
        <v>16</v>
      </c>
    </row>
    <row r="43" spans="1:12" x14ac:dyDescent="0.25">
      <c r="A43" s="20" t="s">
        <v>222</v>
      </c>
      <c r="B43" s="20" t="s">
        <v>36</v>
      </c>
      <c r="C43" s="20" t="s">
        <v>65</v>
      </c>
      <c r="D43" s="20" t="s">
        <v>196</v>
      </c>
      <c r="E43" s="20"/>
      <c r="F43" s="20" t="s">
        <v>111</v>
      </c>
      <c r="G43" s="20">
        <v>11</v>
      </c>
      <c r="H43" s="20">
        <v>8</v>
      </c>
      <c r="I43" s="20" t="s">
        <v>119</v>
      </c>
      <c r="J43" s="20" t="str">
        <f t="shared" si="0"/>
        <v>Г2-Т2 Салабай / Шульга</v>
      </c>
      <c r="K43" s="20">
        <f t="shared" si="1"/>
        <v>3</v>
      </c>
      <c r="L43" s="20">
        <f t="shared" si="2"/>
        <v>19</v>
      </c>
    </row>
    <row r="44" spans="1:12" x14ac:dyDescent="0.25">
      <c r="A44" s="20" t="s">
        <v>223</v>
      </c>
      <c r="B44" s="20" t="s">
        <v>37</v>
      </c>
      <c r="C44" s="20" t="s">
        <v>63</v>
      </c>
      <c r="D44" s="20" t="s">
        <v>224</v>
      </c>
      <c r="E44" s="20"/>
      <c r="F44" s="20" t="s">
        <v>225</v>
      </c>
      <c r="G44" s="20">
        <v>0</v>
      </c>
      <c r="H44" s="20">
        <v>11</v>
      </c>
      <c r="I44" s="20" t="s">
        <v>226</v>
      </c>
      <c r="J44" s="20" t="str">
        <f t="shared" si="0"/>
        <v>Папурова А. / Крівонос Г.</v>
      </c>
      <c r="K44" s="20">
        <f t="shared" si="1"/>
        <v>11</v>
      </c>
      <c r="L44" s="20">
        <f t="shared" si="2"/>
        <v>11</v>
      </c>
    </row>
    <row r="45" spans="1:12" x14ac:dyDescent="0.25">
      <c r="A45" s="20" t="s">
        <v>227</v>
      </c>
      <c r="B45" s="20" t="s">
        <v>37</v>
      </c>
      <c r="C45" s="20" t="s">
        <v>63</v>
      </c>
      <c r="D45" s="20" t="s">
        <v>228</v>
      </c>
      <c r="E45" s="20"/>
      <c r="F45" s="20" t="s">
        <v>229</v>
      </c>
      <c r="G45" s="20">
        <v>6</v>
      </c>
      <c r="H45" s="20">
        <v>11</v>
      </c>
      <c r="I45" s="20" t="s">
        <v>230</v>
      </c>
      <c r="J45" s="20" t="str">
        <f t="shared" si="0"/>
        <v>Крівонос Г. / Катеринич І.</v>
      </c>
      <c r="K45" s="20">
        <f t="shared" si="1"/>
        <v>5</v>
      </c>
      <c r="L45" s="20">
        <f t="shared" si="2"/>
        <v>17</v>
      </c>
    </row>
    <row r="46" spans="1:12" x14ac:dyDescent="0.25">
      <c r="A46" s="20" t="s">
        <v>231</v>
      </c>
      <c r="B46" s="20" t="s">
        <v>37</v>
      </c>
      <c r="C46" s="20" t="s">
        <v>63</v>
      </c>
      <c r="D46" s="20" t="s">
        <v>232</v>
      </c>
      <c r="E46" s="20"/>
      <c r="F46" s="20" t="s">
        <v>233</v>
      </c>
      <c r="G46" s="20">
        <v>11</v>
      </c>
      <c r="H46" s="20">
        <v>2</v>
      </c>
      <c r="I46" s="20" t="s">
        <v>234</v>
      </c>
      <c r="J46" s="20" t="str">
        <f t="shared" si="0"/>
        <v>Котліна В. / Катеринич І.</v>
      </c>
      <c r="K46" s="20">
        <f t="shared" si="1"/>
        <v>9</v>
      </c>
      <c r="L46" s="20">
        <f t="shared" si="2"/>
        <v>13</v>
      </c>
    </row>
    <row r="47" spans="1:12" x14ac:dyDescent="0.25">
      <c r="A47" s="20" t="s">
        <v>235</v>
      </c>
      <c r="B47" s="20" t="s">
        <v>37</v>
      </c>
      <c r="C47" s="20" t="s">
        <v>63</v>
      </c>
      <c r="D47" s="20" t="s">
        <v>236</v>
      </c>
      <c r="E47" s="20"/>
      <c r="F47" s="20" t="s">
        <v>237</v>
      </c>
      <c r="G47" s="20">
        <v>3</v>
      </c>
      <c r="H47" s="20">
        <v>11</v>
      </c>
      <c r="I47" s="20" t="s">
        <v>238</v>
      </c>
      <c r="J47" s="20" t="str">
        <f t="shared" si="0"/>
        <v>Концева Е. / Крівонос Г.</v>
      </c>
      <c r="K47" s="20">
        <f t="shared" si="1"/>
        <v>8</v>
      </c>
      <c r="L47" s="20">
        <f t="shared" si="2"/>
        <v>14</v>
      </c>
    </row>
    <row r="48" spans="1:12" x14ac:dyDescent="0.25">
      <c r="A48" s="20" t="s">
        <v>239</v>
      </c>
      <c r="B48" s="20" t="s">
        <v>37</v>
      </c>
      <c r="C48" s="20" t="s">
        <v>63</v>
      </c>
      <c r="D48" s="20" t="s">
        <v>240</v>
      </c>
      <c r="E48" s="20"/>
      <c r="F48" s="20" t="s">
        <v>241</v>
      </c>
      <c r="G48" s="20">
        <v>11</v>
      </c>
      <c r="H48" s="20">
        <v>1</v>
      </c>
      <c r="I48" s="20" t="s">
        <v>242</v>
      </c>
      <c r="J48" s="20" t="str">
        <f t="shared" si="0"/>
        <v>Котліна В. / Крівонос Г.</v>
      </c>
      <c r="K48" s="20">
        <f t="shared" si="1"/>
        <v>10</v>
      </c>
      <c r="L48" s="20">
        <f t="shared" si="2"/>
        <v>12</v>
      </c>
    </row>
    <row r="49" spans="1:12" x14ac:dyDescent="0.25">
      <c r="A49" s="20" t="s">
        <v>243</v>
      </c>
      <c r="B49" s="20" t="s">
        <v>37</v>
      </c>
      <c r="C49" s="20" t="s">
        <v>63</v>
      </c>
      <c r="D49" s="20" t="s">
        <v>244</v>
      </c>
      <c r="E49" s="20"/>
      <c r="F49" s="20" t="s">
        <v>245</v>
      </c>
      <c r="G49" s="20">
        <v>11</v>
      </c>
      <c r="H49" s="20">
        <v>4</v>
      </c>
      <c r="I49" s="20" t="s">
        <v>246</v>
      </c>
      <c r="J49" s="20" t="str">
        <f t="shared" si="0"/>
        <v>Концева Е. / Катеринич І.</v>
      </c>
      <c r="K49" s="20">
        <f t="shared" si="1"/>
        <v>7</v>
      </c>
      <c r="L49" s="20">
        <f t="shared" si="2"/>
        <v>15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17" customWidth="1"/>
    <col min="3" max="3" width="11" customWidth="1"/>
    <col min="4" max="5" width="8" customWidth="1"/>
    <col min="6" max="6" width="34" customWidth="1"/>
    <col min="7" max="7" width="36" customWidth="1"/>
    <col min="8" max="8" width="32" customWidth="1"/>
    <col min="9" max="9" width="18" customWidth="1"/>
    <col min="10" max="10" width="12" customWidth="1"/>
    <col min="11" max="11" width="9" customWidth="1"/>
  </cols>
  <sheetData>
    <row r="1" spans="1:11" x14ac:dyDescent="0.25">
      <c r="A1" s="19" t="s">
        <v>247</v>
      </c>
      <c r="B1" s="19" t="s">
        <v>248</v>
      </c>
      <c r="C1" s="19" t="s">
        <v>97</v>
      </c>
      <c r="D1" s="19" t="s">
        <v>101</v>
      </c>
      <c r="E1" s="19" t="s">
        <v>98</v>
      </c>
      <c r="F1" s="19" t="s">
        <v>99</v>
      </c>
      <c r="G1" s="19" t="s">
        <v>249</v>
      </c>
      <c r="H1" s="19" t="s">
        <v>250</v>
      </c>
      <c r="I1" s="19" t="s">
        <v>251</v>
      </c>
      <c r="J1" s="19" t="s">
        <v>252</v>
      </c>
      <c r="K1" s="19" t="s">
        <v>253</v>
      </c>
    </row>
    <row r="2" spans="1:11" x14ac:dyDescent="0.25">
      <c r="A2" s="20">
        <v>2</v>
      </c>
      <c r="B2" s="22">
        <v>46286.384722222203</v>
      </c>
      <c r="C2" s="20" t="s">
        <v>35</v>
      </c>
      <c r="D2" s="20" t="s">
        <v>117</v>
      </c>
      <c r="E2" s="20">
        <v>1</v>
      </c>
      <c r="F2" s="20" t="s">
        <v>115</v>
      </c>
      <c r="G2" s="20" t="s">
        <v>254</v>
      </c>
      <c r="H2" s="20" t="s">
        <v>41</v>
      </c>
      <c r="I2" s="20" t="s">
        <v>50</v>
      </c>
      <c r="J2" s="23">
        <f t="shared" ref="J2:J33" si="0">IF(B2="","",INT(B2))</f>
        <v>46286</v>
      </c>
      <c r="K2" s="20">
        <f t="shared" ref="K2:K33" si="1">IF(B2="","",HOUR(B2))</f>
        <v>9</v>
      </c>
    </row>
    <row r="3" spans="1:11" x14ac:dyDescent="0.25">
      <c r="A3" s="20">
        <v>42</v>
      </c>
      <c r="B3" s="22">
        <v>46299.409027777801</v>
      </c>
      <c r="C3" s="20" t="s">
        <v>35</v>
      </c>
      <c r="D3" s="20" t="s">
        <v>117</v>
      </c>
      <c r="E3" s="20">
        <v>1</v>
      </c>
      <c r="F3" s="20" t="s">
        <v>115</v>
      </c>
      <c r="G3" s="20" t="s">
        <v>255</v>
      </c>
      <c r="H3" s="20" t="s">
        <v>42</v>
      </c>
      <c r="I3" s="20" t="s">
        <v>50</v>
      </c>
      <c r="J3" s="23">
        <f t="shared" si="0"/>
        <v>46299</v>
      </c>
      <c r="K3" s="20">
        <f t="shared" si="1"/>
        <v>9</v>
      </c>
    </row>
    <row r="4" spans="1:11" x14ac:dyDescent="0.25">
      <c r="A4" s="20"/>
      <c r="B4" s="22"/>
      <c r="C4" s="20" t="s">
        <v>35</v>
      </c>
      <c r="D4" s="20" t="s">
        <v>117</v>
      </c>
      <c r="E4" s="20">
        <v>3</v>
      </c>
      <c r="F4" s="20" t="s">
        <v>153</v>
      </c>
      <c r="G4" s="20" t="s">
        <v>256</v>
      </c>
      <c r="H4" s="20" t="s">
        <v>45</v>
      </c>
      <c r="I4" s="20" t="s">
        <v>51</v>
      </c>
      <c r="J4" s="23" t="str">
        <f t="shared" si="0"/>
        <v/>
      </c>
      <c r="K4" s="20" t="str">
        <f t="shared" si="1"/>
        <v/>
      </c>
    </row>
    <row r="5" spans="1:11" x14ac:dyDescent="0.25">
      <c r="A5" s="20">
        <v>43</v>
      </c>
      <c r="B5" s="22">
        <v>46299.468055555597</v>
      </c>
      <c r="C5" s="20" t="s">
        <v>35</v>
      </c>
      <c r="D5" s="20" t="s">
        <v>117</v>
      </c>
      <c r="E5" s="20">
        <v>3</v>
      </c>
      <c r="F5" s="20" t="s">
        <v>153</v>
      </c>
      <c r="G5" s="20" t="s">
        <v>257</v>
      </c>
      <c r="H5" s="20" t="s">
        <v>42</v>
      </c>
      <c r="I5" s="20" t="s">
        <v>50</v>
      </c>
      <c r="J5" s="23">
        <f t="shared" si="0"/>
        <v>46299</v>
      </c>
      <c r="K5" s="20">
        <f t="shared" si="1"/>
        <v>11</v>
      </c>
    </row>
    <row r="6" spans="1:11" x14ac:dyDescent="0.25">
      <c r="A6" s="20">
        <v>46</v>
      </c>
      <c r="B6" s="22">
        <v>46299.820833333302</v>
      </c>
      <c r="C6" s="20" t="s">
        <v>35</v>
      </c>
      <c r="D6" s="20" t="s">
        <v>117</v>
      </c>
      <c r="E6" s="20">
        <v>4</v>
      </c>
      <c r="F6" s="20" t="s">
        <v>141</v>
      </c>
      <c r="G6" s="20" t="s">
        <v>258</v>
      </c>
      <c r="H6" s="20" t="s">
        <v>41</v>
      </c>
      <c r="I6" s="20" t="s">
        <v>50</v>
      </c>
      <c r="J6" s="23">
        <f t="shared" si="0"/>
        <v>46299</v>
      </c>
      <c r="K6" s="20">
        <f t="shared" si="1"/>
        <v>19</v>
      </c>
    </row>
    <row r="7" spans="1:11" x14ac:dyDescent="0.25">
      <c r="A7" s="20">
        <v>27</v>
      </c>
      <c r="B7" s="22">
        <v>46291.561111111099</v>
      </c>
      <c r="C7" s="20" t="s">
        <v>35</v>
      </c>
      <c r="D7" s="20" t="s">
        <v>117</v>
      </c>
      <c r="E7" s="20">
        <v>4</v>
      </c>
      <c r="F7" s="20" t="s">
        <v>141</v>
      </c>
      <c r="G7" s="20" t="s">
        <v>259</v>
      </c>
      <c r="H7" s="20" t="s">
        <v>40</v>
      </c>
      <c r="I7" s="20" t="s">
        <v>50</v>
      </c>
      <c r="J7" s="23">
        <f t="shared" si="0"/>
        <v>46291</v>
      </c>
      <c r="K7" s="20">
        <f t="shared" si="1"/>
        <v>13</v>
      </c>
    </row>
    <row r="8" spans="1:11" x14ac:dyDescent="0.25">
      <c r="A8" s="20">
        <v>26</v>
      </c>
      <c r="B8" s="22">
        <v>46291.370833333298</v>
      </c>
      <c r="C8" s="20" t="s">
        <v>35</v>
      </c>
      <c r="D8" s="20" t="s">
        <v>117</v>
      </c>
      <c r="E8" s="20">
        <v>7</v>
      </c>
      <c r="F8" s="20" t="s">
        <v>159</v>
      </c>
      <c r="G8" s="20" t="s">
        <v>260</v>
      </c>
      <c r="H8" s="20" t="s">
        <v>41</v>
      </c>
      <c r="I8" s="20" t="s">
        <v>50</v>
      </c>
      <c r="J8" s="23">
        <f t="shared" si="0"/>
        <v>46291</v>
      </c>
      <c r="K8" s="20">
        <f t="shared" si="1"/>
        <v>8</v>
      </c>
    </row>
    <row r="9" spans="1:11" x14ac:dyDescent="0.25">
      <c r="A9" s="20">
        <v>40</v>
      </c>
      <c r="B9" s="22">
        <v>46298.913888888899</v>
      </c>
      <c r="C9" s="20" t="s">
        <v>35</v>
      </c>
      <c r="D9" s="20" t="s">
        <v>117</v>
      </c>
      <c r="E9" s="20">
        <v>7</v>
      </c>
      <c r="F9" s="20" t="s">
        <v>159</v>
      </c>
      <c r="G9" s="20" t="s">
        <v>261</v>
      </c>
      <c r="H9" s="20" t="s">
        <v>40</v>
      </c>
      <c r="I9" s="20" t="s">
        <v>50</v>
      </c>
      <c r="J9" s="23">
        <f t="shared" si="0"/>
        <v>46298</v>
      </c>
      <c r="K9" s="20">
        <f t="shared" si="1"/>
        <v>21</v>
      </c>
    </row>
    <row r="10" spans="1:11" x14ac:dyDescent="0.25">
      <c r="A10" s="20"/>
      <c r="B10" s="22"/>
      <c r="C10" s="20" t="s">
        <v>35</v>
      </c>
      <c r="D10" s="20" t="s">
        <v>125</v>
      </c>
      <c r="E10" s="20">
        <v>2</v>
      </c>
      <c r="F10" s="20" t="s">
        <v>157</v>
      </c>
      <c r="G10" s="20" t="s">
        <v>262</v>
      </c>
      <c r="H10" s="20" t="s">
        <v>45</v>
      </c>
      <c r="I10" s="20" t="s">
        <v>51</v>
      </c>
      <c r="J10" s="23" t="str">
        <f t="shared" si="0"/>
        <v/>
      </c>
      <c r="K10" s="20" t="str">
        <f t="shared" si="1"/>
        <v/>
      </c>
    </row>
    <row r="11" spans="1:11" x14ac:dyDescent="0.25">
      <c r="A11" s="20">
        <v>17</v>
      </c>
      <c r="B11" s="22">
        <v>46288.915972222203</v>
      </c>
      <c r="C11" s="20" t="s">
        <v>35</v>
      </c>
      <c r="D11" s="20" t="s">
        <v>125</v>
      </c>
      <c r="E11" s="20">
        <v>2</v>
      </c>
      <c r="F11" s="20" t="s">
        <v>157</v>
      </c>
      <c r="G11" s="20" t="s">
        <v>263</v>
      </c>
      <c r="H11" s="20" t="s">
        <v>40</v>
      </c>
      <c r="I11" s="20" t="s">
        <v>50</v>
      </c>
      <c r="J11" s="23">
        <f t="shared" si="0"/>
        <v>46288</v>
      </c>
      <c r="K11" s="20">
        <f t="shared" si="1"/>
        <v>21</v>
      </c>
    </row>
    <row r="12" spans="1:11" x14ac:dyDescent="0.25">
      <c r="A12" s="20">
        <v>28</v>
      </c>
      <c r="B12" s="22">
        <v>46291.564583333296</v>
      </c>
      <c r="C12" s="20" t="s">
        <v>35</v>
      </c>
      <c r="D12" s="20" t="s">
        <v>125</v>
      </c>
      <c r="E12" s="20">
        <v>5</v>
      </c>
      <c r="F12" s="20" t="s">
        <v>136</v>
      </c>
      <c r="G12" s="20" t="s">
        <v>264</v>
      </c>
      <c r="H12" s="20" t="s">
        <v>41</v>
      </c>
      <c r="I12" s="20" t="s">
        <v>50</v>
      </c>
      <c r="J12" s="23">
        <f t="shared" si="0"/>
        <v>46291</v>
      </c>
      <c r="K12" s="20">
        <f t="shared" si="1"/>
        <v>13</v>
      </c>
    </row>
    <row r="13" spans="1:11" x14ac:dyDescent="0.25">
      <c r="A13" s="20">
        <v>18</v>
      </c>
      <c r="B13" s="22">
        <v>46288.990277777797</v>
      </c>
      <c r="C13" s="20" t="s">
        <v>35</v>
      </c>
      <c r="D13" s="20" t="s">
        <v>125</v>
      </c>
      <c r="E13" s="20">
        <v>5</v>
      </c>
      <c r="F13" s="20" t="s">
        <v>136</v>
      </c>
      <c r="G13" s="20" t="s">
        <v>265</v>
      </c>
      <c r="H13" s="20" t="s">
        <v>42</v>
      </c>
      <c r="I13" s="20" t="s">
        <v>50</v>
      </c>
      <c r="J13" s="23">
        <f t="shared" si="0"/>
        <v>46288</v>
      </c>
      <c r="K13" s="20">
        <f t="shared" si="1"/>
        <v>23</v>
      </c>
    </row>
    <row r="14" spans="1:11" x14ac:dyDescent="0.25">
      <c r="A14" s="20"/>
      <c r="B14" s="22"/>
      <c r="C14" s="20" t="s">
        <v>35</v>
      </c>
      <c r="D14" s="20" t="s">
        <v>125</v>
      </c>
      <c r="E14" s="20">
        <v>6</v>
      </c>
      <c r="F14" s="20" t="s">
        <v>126</v>
      </c>
      <c r="G14" s="20" t="s">
        <v>266</v>
      </c>
      <c r="H14" s="20" t="s">
        <v>45</v>
      </c>
      <c r="I14" s="20" t="s">
        <v>51</v>
      </c>
      <c r="J14" s="23" t="str">
        <f t="shared" si="0"/>
        <v/>
      </c>
      <c r="K14" s="20" t="str">
        <f t="shared" si="1"/>
        <v/>
      </c>
    </row>
    <row r="15" spans="1:11" x14ac:dyDescent="0.25">
      <c r="A15" s="20">
        <v>7</v>
      </c>
      <c r="B15" s="22">
        <v>46286.672222222202</v>
      </c>
      <c r="C15" s="20" t="s">
        <v>35</v>
      </c>
      <c r="D15" s="20" t="s">
        <v>125</v>
      </c>
      <c r="E15" s="20">
        <v>6</v>
      </c>
      <c r="F15" s="20" t="s">
        <v>126</v>
      </c>
      <c r="G15" s="20" t="s">
        <v>267</v>
      </c>
      <c r="H15" s="20" t="s">
        <v>42</v>
      </c>
      <c r="I15" s="20" t="s">
        <v>50</v>
      </c>
      <c r="J15" s="23">
        <f t="shared" si="0"/>
        <v>46286</v>
      </c>
      <c r="K15" s="20">
        <f t="shared" si="1"/>
        <v>16</v>
      </c>
    </row>
    <row r="16" spans="1:11" x14ac:dyDescent="0.25">
      <c r="A16" s="20">
        <v>3</v>
      </c>
      <c r="B16" s="22">
        <v>46286.387499999997</v>
      </c>
      <c r="C16" s="20" t="s">
        <v>35</v>
      </c>
      <c r="D16" s="20" t="s">
        <v>125</v>
      </c>
      <c r="E16" s="20">
        <v>8</v>
      </c>
      <c r="F16" s="20" t="s">
        <v>138</v>
      </c>
      <c r="G16" s="20" t="s">
        <v>268</v>
      </c>
      <c r="H16" s="20" t="s">
        <v>41</v>
      </c>
      <c r="I16" s="20" t="s">
        <v>50</v>
      </c>
      <c r="J16" s="23">
        <f t="shared" si="0"/>
        <v>46286</v>
      </c>
      <c r="K16" s="20">
        <f t="shared" si="1"/>
        <v>9</v>
      </c>
    </row>
    <row r="17" spans="1:11" x14ac:dyDescent="0.25">
      <c r="A17" s="20">
        <v>4</v>
      </c>
      <c r="B17" s="22">
        <v>46286.417361111096</v>
      </c>
      <c r="C17" s="20" t="s">
        <v>35</v>
      </c>
      <c r="D17" s="20" t="s">
        <v>125</v>
      </c>
      <c r="E17" s="20">
        <v>8</v>
      </c>
      <c r="F17" s="20" t="s">
        <v>138</v>
      </c>
      <c r="G17" s="20" t="s">
        <v>269</v>
      </c>
      <c r="H17" s="20" t="s">
        <v>40</v>
      </c>
      <c r="I17" s="20" t="s">
        <v>50</v>
      </c>
      <c r="J17" s="23">
        <f t="shared" si="0"/>
        <v>46286</v>
      </c>
      <c r="K17" s="20">
        <f t="shared" si="1"/>
        <v>10</v>
      </c>
    </row>
    <row r="18" spans="1:11" x14ac:dyDescent="0.25">
      <c r="A18" s="20">
        <v>11</v>
      </c>
      <c r="B18" s="22">
        <v>46287.765972222202</v>
      </c>
      <c r="C18" s="20" t="s">
        <v>36</v>
      </c>
      <c r="D18" s="20" t="s">
        <v>117</v>
      </c>
      <c r="E18" s="20">
        <v>3</v>
      </c>
      <c r="F18" s="20" t="s">
        <v>128</v>
      </c>
      <c r="G18" s="20" t="s">
        <v>270</v>
      </c>
      <c r="H18" s="20" t="s">
        <v>40</v>
      </c>
      <c r="I18" s="20" t="s">
        <v>50</v>
      </c>
      <c r="J18" s="23">
        <f t="shared" si="0"/>
        <v>46287</v>
      </c>
      <c r="K18" s="20">
        <f t="shared" si="1"/>
        <v>18</v>
      </c>
    </row>
    <row r="19" spans="1:11" x14ac:dyDescent="0.25">
      <c r="A19" s="20">
        <v>6</v>
      </c>
      <c r="B19" s="22">
        <v>46286.452083333301</v>
      </c>
      <c r="C19" s="20" t="s">
        <v>36</v>
      </c>
      <c r="D19" s="20" t="s">
        <v>117</v>
      </c>
      <c r="E19" s="20">
        <v>3</v>
      </c>
      <c r="F19" s="20" t="s">
        <v>128</v>
      </c>
      <c r="G19" s="20" t="s">
        <v>271</v>
      </c>
      <c r="H19" s="20" t="s">
        <v>40</v>
      </c>
      <c r="I19" s="20" t="s">
        <v>50</v>
      </c>
      <c r="J19" s="23">
        <f t="shared" si="0"/>
        <v>46286</v>
      </c>
      <c r="K19" s="20">
        <f t="shared" si="1"/>
        <v>10</v>
      </c>
    </row>
    <row r="20" spans="1:11" x14ac:dyDescent="0.25">
      <c r="A20" s="20"/>
      <c r="B20" s="22"/>
      <c r="C20" s="20" t="s">
        <v>36</v>
      </c>
      <c r="D20" s="20" t="s">
        <v>117</v>
      </c>
      <c r="E20" s="20">
        <v>11</v>
      </c>
      <c r="F20" s="20" t="s">
        <v>163</v>
      </c>
      <c r="G20" s="20" t="s">
        <v>272</v>
      </c>
      <c r="H20" s="20" t="s">
        <v>45</v>
      </c>
      <c r="I20" s="20" t="s">
        <v>51</v>
      </c>
      <c r="J20" s="23" t="str">
        <f t="shared" si="0"/>
        <v/>
      </c>
      <c r="K20" s="20" t="str">
        <f t="shared" si="1"/>
        <v/>
      </c>
    </row>
    <row r="21" spans="1:11" x14ac:dyDescent="0.25">
      <c r="A21" s="20">
        <v>15</v>
      </c>
      <c r="B21" s="22">
        <v>46288.600694444503</v>
      </c>
      <c r="C21" s="20" t="s">
        <v>36</v>
      </c>
      <c r="D21" s="20" t="s">
        <v>117</v>
      </c>
      <c r="E21" s="20">
        <v>11</v>
      </c>
      <c r="F21" s="20" t="s">
        <v>163</v>
      </c>
      <c r="G21" s="20" t="s">
        <v>255</v>
      </c>
      <c r="H21" s="20" t="s">
        <v>40</v>
      </c>
      <c r="I21" s="20" t="s">
        <v>50</v>
      </c>
      <c r="J21" s="23">
        <f t="shared" si="0"/>
        <v>46288</v>
      </c>
      <c r="K21" s="20">
        <f t="shared" si="1"/>
        <v>14</v>
      </c>
    </row>
    <row r="22" spans="1:11" x14ac:dyDescent="0.25">
      <c r="A22" s="20">
        <v>29</v>
      </c>
      <c r="B22" s="22">
        <v>46291.779861111099</v>
      </c>
      <c r="C22" s="20" t="s">
        <v>36</v>
      </c>
      <c r="D22" s="20" t="s">
        <v>117</v>
      </c>
      <c r="E22" s="20">
        <v>12</v>
      </c>
      <c r="F22" s="20" t="s">
        <v>147</v>
      </c>
      <c r="G22" s="20" t="s">
        <v>273</v>
      </c>
      <c r="H22" s="20" t="s">
        <v>40</v>
      </c>
      <c r="I22" s="20" t="s">
        <v>50</v>
      </c>
      <c r="J22" s="23">
        <f t="shared" si="0"/>
        <v>46291</v>
      </c>
      <c r="K22" s="20">
        <f t="shared" si="1"/>
        <v>18</v>
      </c>
    </row>
    <row r="23" spans="1:11" x14ac:dyDescent="0.25">
      <c r="A23" s="20"/>
      <c r="B23" s="22"/>
      <c r="C23" s="20" t="s">
        <v>36</v>
      </c>
      <c r="D23" s="20" t="s">
        <v>117</v>
      </c>
      <c r="E23" s="20">
        <v>12</v>
      </c>
      <c r="F23" s="20" t="s">
        <v>147</v>
      </c>
      <c r="G23" s="20" t="s">
        <v>274</v>
      </c>
      <c r="H23" s="20" t="s">
        <v>45</v>
      </c>
      <c r="I23" s="20" t="s">
        <v>51</v>
      </c>
      <c r="J23" s="23" t="str">
        <f t="shared" si="0"/>
        <v/>
      </c>
      <c r="K23" s="20" t="str">
        <f t="shared" si="1"/>
        <v/>
      </c>
    </row>
    <row r="24" spans="1:11" x14ac:dyDescent="0.25">
      <c r="A24" s="20"/>
      <c r="B24" s="22"/>
      <c r="C24" s="20" t="s">
        <v>36</v>
      </c>
      <c r="D24" s="20" t="s">
        <v>117</v>
      </c>
      <c r="E24" s="20">
        <v>13</v>
      </c>
      <c r="F24" s="20" t="s">
        <v>133</v>
      </c>
      <c r="G24" s="20" t="s">
        <v>275</v>
      </c>
      <c r="H24" s="20" t="s">
        <v>45</v>
      </c>
      <c r="I24" s="20" t="s">
        <v>51</v>
      </c>
      <c r="J24" s="23" t="str">
        <f t="shared" si="0"/>
        <v/>
      </c>
      <c r="K24" s="20" t="str">
        <f t="shared" si="1"/>
        <v/>
      </c>
    </row>
    <row r="25" spans="1:11" x14ac:dyDescent="0.25">
      <c r="A25" s="20"/>
      <c r="B25" s="22"/>
      <c r="C25" s="20" t="s">
        <v>36</v>
      </c>
      <c r="D25" s="20" t="s">
        <v>117</v>
      </c>
      <c r="E25" s="20">
        <v>13</v>
      </c>
      <c r="F25" s="20" t="s">
        <v>133</v>
      </c>
      <c r="G25" s="20" t="s">
        <v>276</v>
      </c>
      <c r="H25" s="20" t="s">
        <v>45</v>
      </c>
      <c r="I25" s="20" t="s">
        <v>51</v>
      </c>
      <c r="J25" s="23" t="str">
        <f t="shared" si="0"/>
        <v/>
      </c>
      <c r="K25" s="20" t="str">
        <f t="shared" si="1"/>
        <v/>
      </c>
    </row>
    <row r="26" spans="1:11" x14ac:dyDescent="0.25">
      <c r="A26" s="20">
        <v>49</v>
      </c>
      <c r="B26" s="22">
        <v>46299.85</v>
      </c>
      <c r="C26" s="20" t="s">
        <v>36</v>
      </c>
      <c r="D26" s="20" t="s">
        <v>125</v>
      </c>
      <c r="E26" s="20">
        <v>4</v>
      </c>
      <c r="F26" s="20" t="s">
        <v>123</v>
      </c>
      <c r="G26" s="20" t="s">
        <v>277</v>
      </c>
      <c r="H26" s="20" t="s">
        <v>40</v>
      </c>
      <c r="I26" s="20" t="s">
        <v>50</v>
      </c>
      <c r="J26" s="23">
        <f t="shared" si="0"/>
        <v>46299</v>
      </c>
      <c r="K26" s="20">
        <f t="shared" si="1"/>
        <v>20</v>
      </c>
    </row>
    <row r="27" spans="1:11" x14ac:dyDescent="0.25">
      <c r="A27" s="20">
        <v>13</v>
      </c>
      <c r="B27" s="22">
        <v>46288.527083333298</v>
      </c>
      <c r="C27" s="20" t="s">
        <v>36</v>
      </c>
      <c r="D27" s="20" t="s">
        <v>125</v>
      </c>
      <c r="E27" s="20">
        <v>4</v>
      </c>
      <c r="F27" s="20" t="s">
        <v>123</v>
      </c>
      <c r="G27" s="20" t="s">
        <v>278</v>
      </c>
      <c r="H27" s="20" t="s">
        <v>40</v>
      </c>
      <c r="I27" s="20" t="s">
        <v>50</v>
      </c>
      <c r="J27" s="23">
        <f t="shared" si="0"/>
        <v>46288</v>
      </c>
      <c r="K27" s="20">
        <f t="shared" si="1"/>
        <v>12</v>
      </c>
    </row>
    <row r="28" spans="1:11" x14ac:dyDescent="0.25">
      <c r="A28" s="20">
        <v>19</v>
      </c>
      <c r="B28" s="22">
        <v>46289.395833333299</v>
      </c>
      <c r="C28" s="20" t="s">
        <v>36</v>
      </c>
      <c r="D28" s="20" t="s">
        <v>125</v>
      </c>
      <c r="E28" s="20">
        <v>7</v>
      </c>
      <c r="F28" s="20" t="s">
        <v>131</v>
      </c>
      <c r="G28" s="20" t="s">
        <v>279</v>
      </c>
      <c r="H28" s="20" t="s">
        <v>40</v>
      </c>
      <c r="I28" s="20" t="s">
        <v>50</v>
      </c>
      <c r="J28" s="23">
        <f t="shared" si="0"/>
        <v>46289</v>
      </c>
      <c r="K28" s="20">
        <f t="shared" si="1"/>
        <v>9</v>
      </c>
    </row>
    <row r="29" spans="1:11" x14ac:dyDescent="0.25">
      <c r="A29" s="20">
        <v>22</v>
      </c>
      <c r="B29" s="22">
        <v>46289.522916666698</v>
      </c>
      <c r="C29" s="20" t="s">
        <v>36</v>
      </c>
      <c r="D29" s="20" t="s">
        <v>125</v>
      </c>
      <c r="E29" s="20">
        <v>7</v>
      </c>
      <c r="F29" s="20" t="s">
        <v>131</v>
      </c>
      <c r="G29" s="20" t="s">
        <v>280</v>
      </c>
      <c r="H29" s="20" t="s">
        <v>40</v>
      </c>
      <c r="I29" s="20" t="s">
        <v>50</v>
      </c>
      <c r="J29" s="23">
        <f t="shared" si="0"/>
        <v>46289</v>
      </c>
      <c r="K29" s="20">
        <f t="shared" si="1"/>
        <v>12</v>
      </c>
    </row>
    <row r="30" spans="1:11" x14ac:dyDescent="0.25">
      <c r="A30" s="20">
        <v>36</v>
      </c>
      <c r="B30" s="22">
        <v>46296.4909722222</v>
      </c>
      <c r="C30" s="20" t="s">
        <v>36</v>
      </c>
      <c r="D30" s="20" t="s">
        <v>125</v>
      </c>
      <c r="E30" s="20">
        <v>9</v>
      </c>
      <c r="F30" s="20" t="s">
        <v>161</v>
      </c>
      <c r="G30" s="20" t="s">
        <v>281</v>
      </c>
      <c r="H30" s="20" t="s">
        <v>40</v>
      </c>
      <c r="I30" s="20" t="s">
        <v>50</v>
      </c>
      <c r="J30" s="23">
        <f t="shared" si="0"/>
        <v>46296</v>
      </c>
      <c r="K30" s="20">
        <f t="shared" si="1"/>
        <v>11</v>
      </c>
    </row>
    <row r="31" spans="1:11" x14ac:dyDescent="0.25">
      <c r="A31" s="20">
        <v>37</v>
      </c>
      <c r="B31" s="22">
        <v>46296.497222222199</v>
      </c>
      <c r="C31" s="20" t="s">
        <v>36</v>
      </c>
      <c r="D31" s="20" t="s">
        <v>125</v>
      </c>
      <c r="E31" s="20">
        <v>9</v>
      </c>
      <c r="F31" s="20" t="s">
        <v>161</v>
      </c>
      <c r="G31" s="20" t="s">
        <v>282</v>
      </c>
      <c r="H31" s="20" t="s">
        <v>40</v>
      </c>
      <c r="I31" s="20" t="s">
        <v>50</v>
      </c>
      <c r="J31" s="23">
        <f t="shared" si="0"/>
        <v>46296</v>
      </c>
      <c r="K31" s="20">
        <f t="shared" si="1"/>
        <v>11</v>
      </c>
    </row>
    <row r="32" spans="1:11" x14ac:dyDescent="0.25">
      <c r="A32" s="20"/>
      <c r="B32" s="22"/>
      <c r="C32" s="20" t="s">
        <v>36</v>
      </c>
      <c r="D32" s="20" t="s">
        <v>125</v>
      </c>
      <c r="E32" s="20">
        <v>14</v>
      </c>
      <c r="F32" s="20" t="s">
        <v>145</v>
      </c>
      <c r="G32" s="20" t="s">
        <v>283</v>
      </c>
      <c r="H32" s="20" t="s">
        <v>45</v>
      </c>
      <c r="I32" s="20" t="s">
        <v>51</v>
      </c>
      <c r="J32" s="23" t="str">
        <f t="shared" si="0"/>
        <v/>
      </c>
      <c r="K32" s="20" t="str">
        <f t="shared" si="1"/>
        <v/>
      </c>
    </row>
    <row r="33" spans="1:11" x14ac:dyDescent="0.25">
      <c r="A33" s="20">
        <v>5</v>
      </c>
      <c r="B33" s="22">
        <v>46286.423611111102</v>
      </c>
      <c r="C33" s="20" t="s">
        <v>36</v>
      </c>
      <c r="D33" s="20" t="s">
        <v>125</v>
      </c>
      <c r="E33" s="20">
        <v>14</v>
      </c>
      <c r="F33" s="20" t="s">
        <v>145</v>
      </c>
      <c r="G33" s="20" t="s">
        <v>284</v>
      </c>
      <c r="H33" s="20" t="s">
        <v>40</v>
      </c>
      <c r="I33" s="20" t="s">
        <v>50</v>
      </c>
      <c r="J33" s="23">
        <f t="shared" si="0"/>
        <v>46286</v>
      </c>
      <c r="K33" s="20">
        <f t="shared" si="1"/>
        <v>10</v>
      </c>
    </row>
    <row r="34" spans="1:11" x14ac:dyDescent="0.25">
      <c r="A34" s="20">
        <v>30</v>
      </c>
      <c r="B34" s="22">
        <v>46292.654166666704</v>
      </c>
      <c r="C34" s="20" t="s">
        <v>36</v>
      </c>
      <c r="D34" s="20" t="s">
        <v>113</v>
      </c>
      <c r="E34" s="20">
        <v>2</v>
      </c>
      <c r="F34" s="20" t="s">
        <v>111</v>
      </c>
      <c r="G34" s="20" t="s">
        <v>285</v>
      </c>
      <c r="H34" s="20" t="s">
        <v>43</v>
      </c>
      <c r="I34" s="20" t="s">
        <v>50</v>
      </c>
      <c r="J34" s="23">
        <f t="shared" ref="J34:J51" si="2">IF(B34="","",INT(B34))</f>
        <v>46292</v>
      </c>
      <c r="K34" s="20">
        <f t="shared" ref="K34:K51" si="3">IF(B34="","",HOUR(B34))</f>
        <v>15</v>
      </c>
    </row>
    <row r="35" spans="1:11" x14ac:dyDescent="0.25">
      <c r="A35" s="20"/>
      <c r="B35" s="22"/>
      <c r="C35" s="20" t="s">
        <v>36</v>
      </c>
      <c r="D35" s="20" t="s">
        <v>113</v>
      </c>
      <c r="E35" s="20">
        <v>2</v>
      </c>
      <c r="F35" s="20" t="s">
        <v>111</v>
      </c>
      <c r="G35" s="20" t="s">
        <v>286</v>
      </c>
      <c r="H35" s="20" t="s">
        <v>43</v>
      </c>
      <c r="I35" s="20" t="s">
        <v>51</v>
      </c>
      <c r="J35" s="23" t="str">
        <f t="shared" si="2"/>
        <v/>
      </c>
      <c r="K35" s="20" t="str">
        <f t="shared" si="3"/>
        <v/>
      </c>
    </row>
    <row r="36" spans="1:11" x14ac:dyDescent="0.25">
      <c r="A36" s="20">
        <v>38</v>
      </c>
      <c r="B36" s="22">
        <v>46296.620138888902</v>
      </c>
      <c r="C36" s="20" t="s">
        <v>36</v>
      </c>
      <c r="D36" s="20" t="s">
        <v>113</v>
      </c>
      <c r="E36" s="20">
        <v>5</v>
      </c>
      <c r="F36" s="20" t="s">
        <v>143</v>
      </c>
      <c r="G36" s="20" t="s">
        <v>287</v>
      </c>
      <c r="H36" s="20" t="s">
        <v>40</v>
      </c>
      <c r="I36" s="20" t="s">
        <v>50</v>
      </c>
      <c r="J36" s="23">
        <f t="shared" si="2"/>
        <v>46296</v>
      </c>
      <c r="K36" s="20">
        <f t="shared" si="3"/>
        <v>14</v>
      </c>
    </row>
    <row r="37" spans="1:11" x14ac:dyDescent="0.25">
      <c r="A37" s="20">
        <v>1</v>
      </c>
      <c r="B37" s="22">
        <v>46286.382638888899</v>
      </c>
      <c r="C37" s="20" t="s">
        <v>36</v>
      </c>
      <c r="D37" s="20" t="s">
        <v>113</v>
      </c>
      <c r="E37" s="20">
        <v>5</v>
      </c>
      <c r="F37" s="20" t="s">
        <v>143</v>
      </c>
      <c r="G37" s="20" t="s">
        <v>288</v>
      </c>
      <c r="H37" s="20" t="s">
        <v>40</v>
      </c>
      <c r="I37" s="20" t="s">
        <v>50</v>
      </c>
      <c r="J37" s="23">
        <f t="shared" si="2"/>
        <v>46286</v>
      </c>
      <c r="K37" s="20">
        <f t="shared" si="3"/>
        <v>9</v>
      </c>
    </row>
    <row r="38" spans="1:11" x14ac:dyDescent="0.25">
      <c r="A38" s="20">
        <v>45</v>
      </c>
      <c r="B38" s="22">
        <v>46299.767361111102</v>
      </c>
      <c r="C38" s="20" t="s">
        <v>36</v>
      </c>
      <c r="D38" s="20" t="s">
        <v>113</v>
      </c>
      <c r="E38" s="20">
        <v>10</v>
      </c>
      <c r="F38" s="20" t="s">
        <v>155</v>
      </c>
      <c r="G38" s="20" t="s">
        <v>289</v>
      </c>
      <c r="H38" s="20" t="s">
        <v>40</v>
      </c>
      <c r="I38" s="20" t="s">
        <v>50</v>
      </c>
      <c r="J38" s="23">
        <f t="shared" si="2"/>
        <v>46299</v>
      </c>
      <c r="K38" s="20">
        <f t="shared" si="3"/>
        <v>18</v>
      </c>
    </row>
    <row r="39" spans="1:11" x14ac:dyDescent="0.25">
      <c r="A39" s="20"/>
      <c r="B39" s="22"/>
      <c r="C39" s="20" t="s">
        <v>36</v>
      </c>
      <c r="D39" s="20" t="s">
        <v>113</v>
      </c>
      <c r="E39" s="20">
        <v>10</v>
      </c>
      <c r="F39" s="20" t="s">
        <v>155</v>
      </c>
      <c r="G39" s="20" t="s">
        <v>290</v>
      </c>
      <c r="H39" s="20" t="s">
        <v>45</v>
      </c>
      <c r="I39" s="20" t="s">
        <v>51</v>
      </c>
      <c r="J39" s="23" t="str">
        <f t="shared" si="2"/>
        <v/>
      </c>
      <c r="K39" s="20" t="str">
        <f t="shared" si="3"/>
        <v/>
      </c>
    </row>
    <row r="40" spans="1:11" x14ac:dyDescent="0.25">
      <c r="A40" s="20">
        <v>14</v>
      </c>
      <c r="B40" s="22">
        <v>46288.545138888898</v>
      </c>
      <c r="C40" s="20" t="s">
        <v>36</v>
      </c>
      <c r="D40" s="20" t="s">
        <v>121</v>
      </c>
      <c r="E40" s="20">
        <v>1</v>
      </c>
      <c r="F40" s="20" t="s">
        <v>119</v>
      </c>
      <c r="G40" s="20" t="s">
        <v>291</v>
      </c>
      <c r="H40" s="20" t="s">
        <v>40</v>
      </c>
      <c r="I40" s="20" t="s">
        <v>50</v>
      </c>
      <c r="J40" s="23">
        <f t="shared" si="2"/>
        <v>46288</v>
      </c>
      <c r="K40" s="20">
        <f t="shared" si="3"/>
        <v>13</v>
      </c>
    </row>
    <row r="41" spans="1:11" x14ac:dyDescent="0.25">
      <c r="A41" s="20">
        <v>16</v>
      </c>
      <c r="B41" s="22">
        <v>46288.666666666701</v>
      </c>
      <c r="C41" s="20" t="s">
        <v>36</v>
      </c>
      <c r="D41" s="20" t="s">
        <v>121</v>
      </c>
      <c r="E41" s="20">
        <v>1</v>
      </c>
      <c r="F41" s="20" t="s">
        <v>119</v>
      </c>
      <c r="G41" s="20" t="s">
        <v>292</v>
      </c>
      <c r="H41" s="20" t="s">
        <v>40</v>
      </c>
      <c r="I41" s="20" t="s">
        <v>50</v>
      </c>
      <c r="J41" s="23">
        <f t="shared" si="2"/>
        <v>46288</v>
      </c>
      <c r="K41" s="20">
        <f t="shared" si="3"/>
        <v>16</v>
      </c>
    </row>
    <row r="42" spans="1:11" x14ac:dyDescent="0.25">
      <c r="A42" s="20">
        <v>10</v>
      </c>
      <c r="B42" s="22">
        <v>46286.894444444399</v>
      </c>
      <c r="C42" s="20" t="s">
        <v>36</v>
      </c>
      <c r="D42" s="20" t="s">
        <v>121</v>
      </c>
      <c r="E42" s="20">
        <v>6</v>
      </c>
      <c r="F42" s="20" t="s">
        <v>149</v>
      </c>
      <c r="G42" s="20" t="s">
        <v>293</v>
      </c>
      <c r="H42" s="20" t="s">
        <v>43</v>
      </c>
      <c r="I42" s="20" t="s">
        <v>50</v>
      </c>
      <c r="J42" s="23">
        <f t="shared" si="2"/>
        <v>46286</v>
      </c>
      <c r="K42" s="20">
        <f t="shared" si="3"/>
        <v>21</v>
      </c>
    </row>
    <row r="43" spans="1:11" x14ac:dyDescent="0.25">
      <c r="A43" s="20">
        <v>50</v>
      </c>
      <c r="B43" s="22">
        <v>46300.816666666702</v>
      </c>
      <c r="C43" s="20" t="s">
        <v>36</v>
      </c>
      <c r="D43" s="20" t="s">
        <v>121</v>
      </c>
      <c r="E43" s="20">
        <v>6</v>
      </c>
      <c r="F43" s="20" t="s">
        <v>149</v>
      </c>
      <c r="G43" s="20" t="s">
        <v>294</v>
      </c>
      <c r="H43" s="20" t="s">
        <v>40</v>
      </c>
      <c r="I43" s="20" t="s">
        <v>50</v>
      </c>
      <c r="J43" s="23">
        <f t="shared" si="2"/>
        <v>46300</v>
      </c>
      <c r="K43" s="20">
        <f t="shared" si="3"/>
        <v>19</v>
      </c>
    </row>
    <row r="44" spans="1:11" x14ac:dyDescent="0.25">
      <c r="A44" s="20">
        <v>32</v>
      </c>
      <c r="B44" s="22">
        <v>46292.808333333298</v>
      </c>
      <c r="C44" s="20" t="s">
        <v>36</v>
      </c>
      <c r="D44" s="20" t="s">
        <v>121</v>
      </c>
      <c r="E44" s="20">
        <v>8</v>
      </c>
      <c r="F44" s="20" t="s">
        <v>151</v>
      </c>
      <c r="G44" s="20" t="s">
        <v>295</v>
      </c>
      <c r="H44" s="20" t="s">
        <v>40</v>
      </c>
      <c r="I44" s="20" t="s">
        <v>50</v>
      </c>
      <c r="J44" s="23">
        <f t="shared" si="2"/>
        <v>46292</v>
      </c>
      <c r="K44" s="20">
        <f t="shared" si="3"/>
        <v>19</v>
      </c>
    </row>
    <row r="45" spans="1:11" x14ac:dyDescent="0.25">
      <c r="A45" s="20">
        <v>31</v>
      </c>
      <c r="B45" s="22">
        <v>46292.8034722222</v>
      </c>
      <c r="C45" s="20" t="s">
        <v>36</v>
      </c>
      <c r="D45" s="20" t="s">
        <v>121</v>
      </c>
      <c r="E45" s="20">
        <v>8</v>
      </c>
      <c r="F45" s="20" t="s">
        <v>151</v>
      </c>
      <c r="G45" s="20" t="s">
        <v>296</v>
      </c>
      <c r="H45" s="20" t="s">
        <v>40</v>
      </c>
      <c r="I45" s="20" t="s">
        <v>50</v>
      </c>
      <c r="J45" s="23">
        <f t="shared" si="2"/>
        <v>46292</v>
      </c>
      <c r="K45" s="20">
        <f t="shared" si="3"/>
        <v>19</v>
      </c>
    </row>
    <row r="46" spans="1:11" x14ac:dyDescent="0.25">
      <c r="A46" s="20">
        <v>12</v>
      </c>
      <c r="B46" s="22">
        <v>46287.831944444399</v>
      </c>
      <c r="C46" s="20" t="s">
        <v>37</v>
      </c>
      <c r="D46" s="20"/>
      <c r="E46" s="20"/>
      <c r="F46" s="20"/>
      <c r="G46" s="20" t="s">
        <v>297</v>
      </c>
      <c r="H46" s="20" t="s">
        <v>44</v>
      </c>
      <c r="I46" s="20" t="s">
        <v>50</v>
      </c>
      <c r="J46" s="23">
        <f t="shared" si="2"/>
        <v>46287</v>
      </c>
      <c r="K46" s="20">
        <f t="shared" si="3"/>
        <v>19</v>
      </c>
    </row>
    <row r="47" spans="1:11" x14ac:dyDescent="0.25">
      <c r="A47" s="20">
        <v>33</v>
      </c>
      <c r="B47" s="22">
        <v>46294.261805555601</v>
      </c>
      <c r="C47" s="20" t="s">
        <v>37</v>
      </c>
      <c r="D47" s="20"/>
      <c r="E47" s="20"/>
      <c r="F47" s="20"/>
      <c r="G47" s="20" t="s">
        <v>298</v>
      </c>
      <c r="H47" s="20" t="s">
        <v>44</v>
      </c>
      <c r="I47" s="20" t="s">
        <v>50</v>
      </c>
      <c r="J47" s="23">
        <f t="shared" si="2"/>
        <v>46294</v>
      </c>
      <c r="K47" s="20">
        <f t="shared" si="3"/>
        <v>6</v>
      </c>
    </row>
    <row r="48" spans="1:11" x14ac:dyDescent="0.25">
      <c r="A48" s="20">
        <v>34</v>
      </c>
      <c r="B48" s="22">
        <v>46294.877777777801</v>
      </c>
      <c r="C48" s="20" t="s">
        <v>37</v>
      </c>
      <c r="D48" s="20"/>
      <c r="E48" s="20"/>
      <c r="F48" s="20"/>
      <c r="G48" s="20" t="s">
        <v>299</v>
      </c>
      <c r="H48" s="20" t="s">
        <v>44</v>
      </c>
      <c r="I48" s="20" t="s">
        <v>50</v>
      </c>
      <c r="J48" s="23">
        <f t="shared" si="2"/>
        <v>46294</v>
      </c>
      <c r="K48" s="20">
        <f t="shared" si="3"/>
        <v>21</v>
      </c>
    </row>
    <row r="49" spans="1:11" x14ac:dyDescent="0.25">
      <c r="A49" s="20"/>
      <c r="B49" s="22"/>
      <c r="C49" s="20" t="s">
        <v>37</v>
      </c>
      <c r="D49" s="20"/>
      <c r="E49" s="20"/>
      <c r="F49" s="20"/>
      <c r="G49" s="20" t="s">
        <v>300</v>
      </c>
      <c r="H49" s="20" t="s">
        <v>45</v>
      </c>
      <c r="I49" s="20" t="s">
        <v>51</v>
      </c>
      <c r="J49" s="23" t="str">
        <f t="shared" si="2"/>
        <v/>
      </c>
      <c r="K49" s="20" t="str">
        <f t="shared" si="3"/>
        <v/>
      </c>
    </row>
    <row r="50" spans="1:11" x14ac:dyDescent="0.25">
      <c r="A50" s="20">
        <v>8</v>
      </c>
      <c r="B50" s="22">
        <v>46286.673611111102</v>
      </c>
      <c r="C50" s="20" t="s">
        <v>37</v>
      </c>
      <c r="D50" s="20"/>
      <c r="E50" s="20"/>
      <c r="F50" s="20"/>
      <c r="G50" s="20" t="s">
        <v>301</v>
      </c>
      <c r="H50" s="20" t="s">
        <v>44</v>
      </c>
      <c r="I50" s="20" t="s">
        <v>50</v>
      </c>
      <c r="J50" s="23">
        <f t="shared" si="2"/>
        <v>46286</v>
      </c>
      <c r="K50" s="20">
        <f t="shared" si="3"/>
        <v>16</v>
      </c>
    </row>
    <row r="51" spans="1:11" x14ac:dyDescent="0.25">
      <c r="A51" s="20">
        <v>9</v>
      </c>
      <c r="B51" s="22">
        <v>46286.755555555603</v>
      </c>
      <c r="C51" s="20" t="s">
        <v>37</v>
      </c>
      <c r="D51" s="20"/>
      <c r="E51" s="20"/>
      <c r="F51" s="20"/>
      <c r="G51" s="20" t="s">
        <v>302</v>
      </c>
      <c r="H51" s="20" t="s">
        <v>43</v>
      </c>
      <c r="I51" s="20" t="s">
        <v>50</v>
      </c>
      <c r="J51" s="23">
        <f t="shared" si="2"/>
        <v>46286</v>
      </c>
      <c r="K51" s="20">
        <f t="shared" si="3"/>
        <v>18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71"/>
  <sheetViews>
    <sheetView topLeftCell="A42" zoomScaleNormal="100" workbookViewId="0"/>
  </sheetViews>
  <sheetFormatPr defaultColWidth="8.7109375" defaultRowHeight="15" x14ac:dyDescent="0.25"/>
  <cols>
    <col min="1" max="1" width="150" customWidth="1"/>
  </cols>
  <sheetData>
    <row r="1" spans="1:1" ht="20.25" x14ac:dyDescent="0.3">
      <c r="A1" s="2" t="s">
        <v>303</v>
      </c>
    </row>
    <row r="3" spans="1:1" x14ac:dyDescent="0.25">
      <c r="A3" s="8" t="s">
        <v>304</v>
      </c>
    </row>
    <row r="4" spans="1:1" x14ac:dyDescent="0.25">
      <c r="A4" s="24" t="s">
        <v>305</v>
      </c>
    </row>
    <row r="5" spans="1:1" x14ac:dyDescent="0.25">
      <c r="A5" s="24" t="s">
        <v>306</v>
      </c>
    </row>
    <row r="7" spans="1:1" x14ac:dyDescent="0.25">
      <c r="A7" s="8" t="s">
        <v>307</v>
      </c>
    </row>
    <row r="8" spans="1:1" x14ac:dyDescent="0.25">
      <c r="A8" s="24" t="s">
        <v>308</v>
      </c>
    </row>
    <row r="9" spans="1:1" x14ac:dyDescent="0.25">
      <c r="A9" s="24" t="s">
        <v>309</v>
      </c>
    </row>
    <row r="10" spans="1:1" x14ac:dyDescent="0.25">
      <c r="A10" s="24" t="s">
        <v>310</v>
      </c>
    </row>
    <row r="11" spans="1:1" x14ac:dyDescent="0.25">
      <c r="A11" s="24" t="s">
        <v>311</v>
      </c>
    </row>
    <row r="12" spans="1:1" x14ac:dyDescent="0.25">
      <c r="A12" s="24" t="s">
        <v>312</v>
      </c>
    </row>
    <row r="13" spans="1:1" x14ac:dyDescent="0.25">
      <c r="A13" s="24" t="s">
        <v>313</v>
      </c>
    </row>
    <row r="14" spans="1:1" x14ac:dyDescent="0.25">
      <c r="A14" s="24" t="s">
        <v>314</v>
      </c>
    </row>
    <row r="15" spans="1:1" x14ac:dyDescent="0.25">
      <c r="A15" s="24" t="s">
        <v>315</v>
      </c>
    </row>
    <row r="17" spans="1:1" x14ac:dyDescent="0.25">
      <c r="A17" s="8" t="s">
        <v>316</v>
      </c>
    </row>
    <row r="18" spans="1:1" x14ac:dyDescent="0.25">
      <c r="A18" s="24" t="s">
        <v>308</v>
      </c>
    </row>
    <row r="19" spans="1:1" x14ac:dyDescent="0.25">
      <c r="A19" s="24" t="s">
        <v>317</v>
      </c>
    </row>
    <row r="20" spans="1:1" x14ac:dyDescent="0.25">
      <c r="A20" s="24" t="s">
        <v>318</v>
      </c>
    </row>
    <row r="21" spans="1:1" x14ac:dyDescent="0.25">
      <c r="A21" s="24" t="s">
        <v>319</v>
      </c>
    </row>
    <row r="22" spans="1:1" x14ac:dyDescent="0.25">
      <c r="A22" s="24" t="s">
        <v>320</v>
      </c>
    </row>
    <row r="23" spans="1:1" x14ac:dyDescent="0.25">
      <c r="A23" s="24" t="s">
        <v>321</v>
      </c>
    </row>
    <row r="24" spans="1:1" x14ac:dyDescent="0.25">
      <c r="A24" s="24" t="s">
        <v>314</v>
      </c>
    </row>
    <row r="25" spans="1:1" x14ac:dyDescent="0.25">
      <c r="A25" s="24" t="s">
        <v>322</v>
      </c>
    </row>
    <row r="27" spans="1:1" x14ac:dyDescent="0.25">
      <c r="A27" s="8" t="s">
        <v>323</v>
      </c>
    </row>
    <row r="28" spans="1:1" x14ac:dyDescent="0.25">
      <c r="A28" s="24" t="s">
        <v>308</v>
      </c>
    </row>
    <row r="29" spans="1:1" x14ac:dyDescent="0.25">
      <c r="A29" s="24" t="s">
        <v>317</v>
      </c>
    </row>
    <row r="30" spans="1:1" x14ac:dyDescent="0.25">
      <c r="A30" s="24" t="s">
        <v>324</v>
      </c>
    </row>
    <row r="31" spans="1:1" x14ac:dyDescent="0.25">
      <c r="A31" s="24" t="s">
        <v>325</v>
      </c>
    </row>
    <row r="32" spans="1:1" x14ac:dyDescent="0.25">
      <c r="A32" s="24" t="s">
        <v>326</v>
      </c>
    </row>
    <row r="33" spans="1:1" x14ac:dyDescent="0.25">
      <c r="A33" s="24" t="s">
        <v>327</v>
      </c>
    </row>
    <row r="34" spans="1:1" x14ac:dyDescent="0.25">
      <c r="A34" s="24" t="s">
        <v>328</v>
      </c>
    </row>
    <row r="35" spans="1:1" x14ac:dyDescent="0.25">
      <c r="A35" s="24" t="s">
        <v>329</v>
      </c>
    </row>
    <row r="36" spans="1:1" x14ac:dyDescent="0.25">
      <c r="A36" s="24" t="s">
        <v>314</v>
      </c>
    </row>
    <row r="37" spans="1:1" x14ac:dyDescent="0.25">
      <c r="A37" s="24" t="s">
        <v>330</v>
      </c>
    </row>
    <row r="39" spans="1:1" x14ac:dyDescent="0.25">
      <c r="A39" s="8" t="s">
        <v>331</v>
      </c>
    </row>
    <row r="40" spans="1:1" x14ac:dyDescent="0.25">
      <c r="A40" s="24" t="s">
        <v>308</v>
      </c>
    </row>
    <row r="41" spans="1:1" x14ac:dyDescent="0.25">
      <c r="A41" s="24" t="s">
        <v>332</v>
      </c>
    </row>
    <row r="42" spans="1:1" x14ac:dyDescent="0.25">
      <c r="A42" s="24" t="s">
        <v>333</v>
      </c>
    </row>
    <row r="43" spans="1:1" x14ac:dyDescent="0.25">
      <c r="A43" s="24" t="s">
        <v>334</v>
      </c>
    </row>
    <row r="44" spans="1:1" x14ac:dyDescent="0.25">
      <c r="A44" s="24" t="s">
        <v>314</v>
      </c>
    </row>
    <row r="45" spans="1:1" x14ac:dyDescent="0.25">
      <c r="A45" s="24" t="s">
        <v>335</v>
      </c>
    </row>
    <row r="47" spans="1:1" x14ac:dyDescent="0.25">
      <c r="A47" s="8" t="s">
        <v>336</v>
      </c>
    </row>
    <row r="48" spans="1:1" x14ac:dyDescent="0.25">
      <c r="A48" s="24" t="s">
        <v>337</v>
      </c>
    </row>
    <row r="49" spans="1:1" x14ac:dyDescent="0.25">
      <c r="A49" s="24" t="s">
        <v>338</v>
      </c>
    </row>
    <row r="50" spans="1:1" x14ac:dyDescent="0.25">
      <c r="A50" s="24" t="s">
        <v>339</v>
      </c>
    </row>
    <row r="52" spans="1:1" x14ac:dyDescent="0.25">
      <c r="A52" s="8" t="s">
        <v>340</v>
      </c>
    </row>
    <row r="53" spans="1:1" x14ac:dyDescent="0.25">
      <c r="A53" s="24" t="s">
        <v>341</v>
      </c>
    </row>
    <row r="54" spans="1:1" x14ac:dyDescent="0.25">
      <c r="A54" s="24" t="s">
        <v>342</v>
      </c>
    </row>
    <row r="55" spans="1:1" x14ac:dyDescent="0.25">
      <c r="A55" s="24" t="s">
        <v>343</v>
      </c>
    </row>
    <row r="56" spans="1:1" x14ac:dyDescent="0.25">
      <c r="A56" s="24" t="s">
        <v>344</v>
      </c>
    </row>
    <row r="57" spans="1:1" x14ac:dyDescent="0.25">
      <c r="A57" s="24" t="s">
        <v>345</v>
      </c>
    </row>
    <row r="58" spans="1:1" x14ac:dyDescent="0.25">
      <c r="A58" s="24" t="s">
        <v>346</v>
      </c>
    </row>
    <row r="59" spans="1:1" x14ac:dyDescent="0.25">
      <c r="A59" s="24" t="s">
        <v>347</v>
      </c>
    </row>
    <row r="60" spans="1:1" x14ac:dyDescent="0.25">
      <c r="A60" s="24" t="s">
        <v>348</v>
      </c>
    </row>
    <row r="61" spans="1:1" x14ac:dyDescent="0.25">
      <c r="A61" s="24" t="s">
        <v>349</v>
      </c>
    </row>
    <row r="62" spans="1:1" x14ac:dyDescent="0.25">
      <c r="A62" s="24" t="s">
        <v>350</v>
      </c>
    </row>
    <row r="63" spans="1:1" x14ac:dyDescent="0.25">
      <c r="A63" s="24" t="s">
        <v>351</v>
      </c>
    </row>
    <row r="64" spans="1:1" x14ac:dyDescent="0.25">
      <c r="A64" s="24" t="s">
        <v>352</v>
      </c>
    </row>
    <row r="65" spans="1:1" x14ac:dyDescent="0.25">
      <c r="A65" s="24" t="s">
        <v>353</v>
      </c>
    </row>
    <row r="67" spans="1:1" x14ac:dyDescent="0.25">
      <c r="A67" s="8" t="s">
        <v>354</v>
      </c>
    </row>
    <row r="68" spans="1:1" x14ac:dyDescent="0.25">
      <c r="A68" s="24" t="s">
        <v>355</v>
      </c>
    </row>
    <row r="69" spans="1:1" x14ac:dyDescent="0.25">
      <c r="A69" s="24" t="s">
        <v>356</v>
      </c>
    </row>
    <row r="70" spans="1:1" x14ac:dyDescent="0.25">
      <c r="A70" s="24" t="s">
        <v>357</v>
      </c>
    </row>
    <row r="71" spans="1:1" x14ac:dyDescent="0.25">
      <c r="A71" s="24" t="s">
        <v>358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Висновки</vt:lpstr>
      <vt:lpstr>Pivot_Реєстрація</vt:lpstr>
      <vt:lpstr>Pivot_Матчі</vt:lpstr>
      <vt:lpstr>Американо</vt:lpstr>
      <vt:lpstr>Dim_Teams</vt:lpstr>
      <vt:lpstr>Fact_Matches</vt:lpstr>
      <vt:lpstr>Dim_Players</vt:lpstr>
      <vt:lpstr>PQ_DAX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Oleksandr Hreshchuk</cp:lastModifiedBy>
  <cp:revision>1</cp:revision>
  <dcterms:created xsi:type="dcterms:W3CDTF">2026-10-14T07:26:40Z</dcterms:created>
  <dcterms:modified xsi:type="dcterms:W3CDTF">2026-10-14T08:20:27Z</dcterms:modified>
  <dc:language>en-US</dc:language>
</cp:coreProperties>
</file>