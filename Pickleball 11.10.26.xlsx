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nmarin\Documents\Спорт\Pickleball\"/>
    </mc:Choice>
  </mc:AlternateContent>
  <xr:revisionPtr revIDLastSave="0" documentId="8_{37DD957E-6365-4742-892F-DF5BCE1773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Группа 1" sheetId="1" r:id="rId1"/>
    <sheet name="Сетка Группа 1" sheetId="2" r:id="rId2"/>
    <sheet name="Группа 2" sheetId="3" r:id="rId3"/>
    <sheet name="Сетка Группа 2" sheetId="4" r:id="rId4"/>
    <sheet name="Группа 3" sheetId="6" r:id="rId5"/>
    <sheet name="Сетка Группа 3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7" l="1"/>
  <c r="J18" i="7"/>
  <c r="J17" i="7"/>
  <c r="J16" i="7"/>
  <c r="J15" i="7"/>
  <c r="J14" i="7"/>
  <c r="R10" i="7"/>
  <c r="Q10" i="7"/>
  <c r="S10" i="7" s="1"/>
  <c r="P10" i="7"/>
  <c r="O10" i="7"/>
  <c r="N10" i="7"/>
  <c r="D10" i="7"/>
  <c r="M10" i="7" s="1"/>
  <c r="C10" i="7"/>
  <c r="B10" i="7"/>
  <c r="R9" i="7"/>
  <c r="S9" i="7" s="1"/>
  <c r="Q9" i="7"/>
  <c r="P9" i="7"/>
  <c r="O9" i="7"/>
  <c r="N9" i="7"/>
  <c r="D9" i="7"/>
  <c r="C9" i="7"/>
  <c r="B9" i="7"/>
  <c r="R8" i="7"/>
  <c r="Q8" i="7"/>
  <c r="S8" i="7" s="1"/>
  <c r="P8" i="7"/>
  <c r="O8" i="7"/>
  <c r="N8" i="7"/>
  <c r="D8" i="7"/>
  <c r="M8" i="7" s="1"/>
  <c r="C8" i="7"/>
  <c r="B8" i="7"/>
  <c r="R7" i="7"/>
  <c r="Q7" i="7"/>
  <c r="P7" i="7"/>
  <c r="O7" i="7"/>
  <c r="N7" i="7"/>
  <c r="D7" i="7"/>
  <c r="M7" i="7" s="1"/>
  <c r="C7" i="7"/>
  <c r="B7" i="7"/>
  <c r="R6" i="7"/>
  <c r="S6" i="7" s="1"/>
  <c r="Q6" i="7"/>
  <c r="P6" i="7"/>
  <c r="O6" i="7"/>
  <c r="N6" i="7"/>
  <c r="D6" i="7"/>
  <c r="G16" i="7" s="1"/>
  <c r="C6" i="7"/>
  <c r="B6" i="7"/>
  <c r="R5" i="7"/>
  <c r="Q5" i="7"/>
  <c r="S5" i="7" s="1"/>
  <c r="P5" i="7"/>
  <c r="O5" i="7"/>
  <c r="N5" i="7"/>
  <c r="D5" i="7"/>
  <c r="C14" i="7" s="1"/>
  <c r="C5" i="7"/>
  <c r="B5" i="7"/>
  <c r="J62" i="4"/>
  <c r="I62" i="4"/>
  <c r="J61" i="4"/>
  <c r="I61" i="4"/>
  <c r="C61" i="4"/>
  <c r="H61" i="4" s="1"/>
  <c r="J60" i="4"/>
  <c r="I60" i="4"/>
  <c r="J56" i="4"/>
  <c r="I56" i="4"/>
  <c r="C56" i="4"/>
  <c r="H56" i="4" s="1"/>
  <c r="J55" i="4"/>
  <c r="I55" i="4"/>
  <c r="J54" i="4"/>
  <c r="I54" i="4"/>
  <c r="J50" i="4"/>
  <c r="I50" i="4"/>
  <c r="G50" i="4"/>
  <c r="C50" i="4"/>
  <c r="H50" i="4" s="1"/>
  <c r="J49" i="4"/>
  <c r="I49" i="4"/>
  <c r="J48" i="4"/>
  <c r="I48" i="4"/>
  <c r="G48" i="4"/>
  <c r="J47" i="4"/>
  <c r="I47" i="4"/>
  <c r="J46" i="4"/>
  <c r="I46" i="4"/>
  <c r="J45" i="4"/>
  <c r="I45" i="4"/>
  <c r="G45" i="4"/>
  <c r="H45" i="4" s="1"/>
  <c r="J41" i="4"/>
  <c r="I41" i="4"/>
  <c r="G41" i="4"/>
  <c r="H41" i="4" s="1"/>
  <c r="J40" i="4"/>
  <c r="I40" i="4"/>
  <c r="G40" i="4"/>
  <c r="J39" i="4"/>
  <c r="I39" i="4"/>
  <c r="C39" i="4"/>
  <c r="J38" i="4"/>
  <c r="I38" i="4"/>
  <c r="J37" i="4"/>
  <c r="I37" i="4"/>
  <c r="G37" i="4"/>
  <c r="H37" i="4" s="1"/>
  <c r="C37" i="4"/>
  <c r="J36" i="4"/>
  <c r="I36" i="4"/>
  <c r="C28" i="4"/>
  <c r="C27" i="4"/>
  <c r="C26" i="4"/>
  <c r="C22" i="4"/>
  <c r="C21" i="4"/>
  <c r="C20" i="4"/>
  <c r="C54" i="4" s="1"/>
  <c r="H54" i="4" s="1"/>
  <c r="T16" i="4"/>
  <c r="C16" i="4"/>
  <c r="G46" i="4" s="1"/>
  <c r="H46" i="4" s="1"/>
  <c r="C15" i="4"/>
  <c r="C46" i="4" s="1"/>
  <c r="T14" i="4"/>
  <c r="R14" i="4"/>
  <c r="N14" i="4"/>
  <c r="S14" i="4" s="1"/>
  <c r="N34" i="4" s="1"/>
  <c r="C14" i="4"/>
  <c r="C13" i="4"/>
  <c r="T12" i="4"/>
  <c r="T11" i="4"/>
  <c r="T9" i="4"/>
  <c r="C9" i="4"/>
  <c r="T8" i="4"/>
  <c r="C8" i="4"/>
  <c r="G38" i="4" s="1"/>
  <c r="T7" i="4"/>
  <c r="C7" i="4"/>
  <c r="T6" i="4"/>
  <c r="C6" i="4"/>
  <c r="J37" i="2"/>
  <c r="I37" i="2"/>
  <c r="J36" i="2"/>
  <c r="I36" i="2"/>
  <c r="J35" i="2"/>
  <c r="I35" i="2"/>
  <c r="G35" i="2"/>
  <c r="J34" i="2"/>
  <c r="I34" i="2"/>
  <c r="J33" i="2"/>
  <c r="I33" i="2"/>
  <c r="J32" i="2"/>
  <c r="I32" i="2"/>
  <c r="C32" i="2"/>
  <c r="J28" i="2"/>
  <c r="I28" i="2"/>
  <c r="J27" i="2"/>
  <c r="I27" i="2"/>
  <c r="J26" i="2"/>
  <c r="I26" i="2"/>
  <c r="G26" i="2"/>
  <c r="C26" i="2"/>
  <c r="H26" i="2" s="1"/>
  <c r="J25" i="2"/>
  <c r="I25" i="2"/>
  <c r="C25" i="2"/>
  <c r="H25" i="2" s="1"/>
  <c r="J24" i="2"/>
  <c r="I24" i="2"/>
  <c r="J23" i="2"/>
  <c r="I23" i="2"/>
  <c r="C23" i="2"/>
  <c r="H23" i="2" s="1"/>
  <c r="C17" i="2"/>
  <c r="C16" i="2"/>
  <c r="C15" i="2"/>
  <c r="C14" i="2"/>
  <c r="U11" i="2"/>
  <c r="U9" i="2"/>
  <c r="C9" i="2"/>
  <c r="C8" i="2"/>
  <c r="U7" i="2"/>
  <c r="C7" i="2"/>
  <c r="U6" i="2"/>
  <c r="C6" i="2"/>
  <c r="H14" i="7" l="1"/>
  <c r="G19" i="7"/>
  <c r="C16" i="7"/>
  <c r="I16" i="7" s="1"/>
  <c r="G14" i="7"/>
  <c r="I14" i="7" s="1"/>
  <c r="M5" i="7"/>
  <c r="T8" i="7"/>
  <c r="C24" i="2"/>
  <c r="G25" i="2"/>
  <c r="C49" i="4"/>
  <c r="H49" i="4" s="1"/>
  <c r="E14" i="4" s="1"/>
  <c r="G36" i="2"/>
  <c r="H36" i="2" s="1"/>
  <c r="G33" i="2"/>
  <c r="H33" i="2" s="1"/>
  <c r="G60" i="4"/>
  <c r="C45" i="4"/>
  <c r="C47" i="4"/>
  <c r="H47" i="4" s="1"/>
  <c r="G15" i="7"/>
  <c r="I15" i="7" s="1"/>
  <c r="C18" i="7"/>
  <c r="I18" i="7" s="1"/>
  <c r="H16" i="7"/>
  <c r="H19" i="7"/>
  <c r="C40" i="4"/>
  <c r="H40" i="4" s="1"/>
  <c r="C38" i="4"/>
  <c r="H38" i="4" s="1"/>
  <c r="H7" i="2"/>
  <c r="D6" i="4"/>
  <c r="G56" i="4"/>
  <c r="G21" i="4" s="1"/>
  <c r="C36" i="2"/>
  <c r="H16" i="2" s="1"/>
  <c r="C34" i="2"/>
  <c r="G54" i="4"/>
  <c r="C60" i="4"/>
  <c r="H28" i="4" s="1"/>
  <c r="G61" i="4"/>
  <c r="C55" i="4"/>
  <c r="G22" i="4" s="1"/>
  <c r="S7" i="7"/>
  <c r="T6" i="7" s="1"/>
  <c r="G18" i="7"/>
  <c r="M9" i="7"/>
  <c r="H17" i="7"/>
  <c r="H14" i="4"/>
  <c r="G55" i="4"/>
  <c r="C62" i="4"/>
  <c r="H62" i="4" s="1"/>
  <c r="G17" i="7"/>
  <c r="I17" i="7" s="1"/>
  <c r="H18" i="7"/>
  <c r="C15" i="7"/>
  <c r="G28" i="2"/>
  <c r="G24" i="2"/>
  <c r="G27" i="2"/>
  <c r="H9" i="2"/>
  <c r="G9" i="2"/>
  <c r="I9" i="2" s="1"/>
  <c r="C36" i="4"/>
  <c r="G6" i="4" s="1"/>
  <c r="C48" i="4"/>
  <c r="H48" i="4" s="1"/>
  <c r="C33" i="2"/>
  <c r="H15" i="2" s="1"/>
  <c r="G34" i="2"/>
  <c r="H34" i="2" s="1"/>
  <c r="E16" i="2" s="1"/>
  <c r="G16" i="2"/>
  <c r="G37" i="2"/>
  <c r="H37" i="2" s="1"/>
  <c r="G32" i="2"/>
  <c r="H32" i="2" s="1"/>
  <c r="G23" i="2"/>
  <c r="E14" i="2"/>
  <c r="C28" i="2"/>
  <c r="H28" i="2" s="1"/>
  <c r="C35" i="2"/>
  <c r="H35" i="2" s="1"/>
  <c r="C37" i="2"/>
  <c r="G39" i="4"/>
  <c r="H39" i="4" s="1"/>
  <c r="G62" i="4"/>
  <c r="M6" i="7"/>
  <c r="C19" i="7"/>
  <c r="I19" i="7" s="1"/>
  <c r="G36" i="4"/>
  <c r="C41" i="4"/>
  <c r="G47" i="4"/>
  <c r="C27" i="2"/>
  <c r="H27" i="2" s="1"/>
  <c r="D6" i="2"/>
  <c r="E15" i="4"/>
  <c r="E16" i="4"/>
  <c r="G49" i="4"/>
  <c r="H15" i="7"/>
  <c r="C17" i="7"/>
  <c r="D9" i="4" l="1"/>
  <c r="G8" i="2"/>
  <c r="I16" i="2"/>
  <c r="H26" i="4"/>
  <c r="G17" i="2"/>
  <c r="I17" i="2" s="1"/>
  <c r="H55" i="4"/>
  <c r="D22" i="4"/>
  <c r="D20" i="4"/>
  <c r="D7" i="2"/>
  <c r="H22" i="4"/>
  <c r="I22" i="4" s="1"/>
  <c r="G15" i="2"/>
  <c r="I15" i="2" s="1"/>
  <c r="H8" i="2"/>
  <c r="T10" i="7"/>
  <c r="D9" i="2"/>
  <c r="D28" i="4"/>
  <c r="G28" i="4"/>
  <c r="I28" i="4" s="1"/>
  <c r="H21" i="4"/>
  <c r="I21" i="4" s="1"/>
  <c r="G20" i="4"/>
  <c r="H6" i="2"/>
  <c r="G6" i="2"/>
  <c r="I6" i="2" s="1"/>
  <c r="H24" i="2"/>
  <c r="H27" i="4"/>
  <c r="D14" i="2"/>
  <c r="D17" i="2"/>
  <c r="D15" i="2"/>
  <c r="T7" i="7"/>
  <c r="D26" i="4"/>
  <c r="E13" i="4"/>
  <c r="D8" i="2"/>
  <c r="T5" i="7"/>
  <c r="E17" i="2"/>
  <c r="E15" i="2"/>
  <c r="D21" i="4"/>
  <c r="G14" i="2"/>
  <c r="G9" i="4"/>
  <c r="I9" i="4" s="1"/>
  <c r="D15" i="4"/>
  <c r="F15" i="4" s="1"/>
  <c r="D16" i="4"/>
  <c r="F16" i="4" s="1"/>
  <c r="G16" i="4"/>
  <c r="H15" i="4"/>
  <c r="G15" i="4"/>
  <c r="H16" i="4"/>
  <c r="D13" i="4"/>
  <c r="G13" i="4"/>
  <c r="D16" i="2"/>
  <c r="F16" i="2" s="1"/>
  <c r="D27" i="4"/>
  <c r="H60" i="4"/>
  <c r="H17" i="2"/>
  <c r="T9" i="7"/>
  <c r="D14" i="4"/>
  <c r="F14" i="4" s="1"/>
  <c r="G7" i="2"/>
  <c r="I7" i="2" s="1"/>
  <c r="H20" i="4"/>
  <c r="H36" i="4"/>
  <c r="D8" i="4"/>
  <c r="H7" i="4"/>
  <c r="H8" i="4"/>
  <c r="G7" i="4"/>
  <c r="I7" i="4" s="1"/>
  <c r="G8" i="4"/>
  <c r="I8" i="4" s="1"/>
  <c r="G14" i="4"/>
  <c r="I14" i="4" s="1"/>
  <c r="G26" i="4"/>
  <c r="I26" i="4" s="1"/>
  <c r="H14" i="2"/>
  <c r="H9" i="4"/>
  <c r="H6" i="4"/>
  <c r="I6" i="4" s="1"/>
  <c r="D7" i="4"/>
  <c r="G27" i="4"/>
  <c r="I27" i="4" s="1"/>
  <c r="H13" i="4"/>
  <c r="E20" i="4" l="1"/>
  <c r="E22" i="4"/>
  <c r="J22" i="4" s="1"/>
  <c r="E21" i="4"/>
  <c r="F21" i="4" s="1"/>
  <c r="J8" i="4"/>
  <c r="I13" i="4"/>
  <c r="E6" i="2"/>
  <c r="F6" i="2" s="1"/>
  <c r="E7" i="2"/>
  <c r="E9" i="2"/>
  <c r="E8" i="2"/>
  <c r="F8" i="2" s="1"/>
  <c r="I14" i="2"/>
  <c r="J14" i="2" s="1"/>
  <c r="J7" i="4"/>
  <c r="I15" i="4"/>
  <c r="F15" i="2"/>
  <c r="I20" i="4"/>
  <c r="F7" i="4"/>
  <c r="F17" i="2"/>
  <c r="F7" i="2"/>
  <c r="J14" i="4"/>
  <c r="J13" i="4"/>
  <c r="F13" i="4"/>
  <c r="J15" i="4"/>
  <c r="E27" i="4"/>
  <c r="J27" i="4" s="1"/>
  <c r="E28" i="4"/>
  <c r="F28" i="4" s="1"/>
  <c r="E26" i="4"/>
  <c r="J26" i="4" s="1"/>
  <c r="E7" i="4"/>
  <c r="E9" i="4"/>
  <c r="E8" i="4"/>
  <c r="F8" i="4" s="1"/>
  <c r="E6" i="4"/>
  <c r="F6" i="4" s="1"/>
  <c r="I16" i="4"/>
  <c r="J16" i="4" s="1"/>
  <c r="F14" i="2"/>
  <c r="J17" i="2"/>
  <c r="J15" i="2"/>
  <c r="J16" i="2"/>
  <c r="F20" i="4"/>
  <c r="I8" i="2"/>
  <c r="J7" i="2"/>
  <c r="F9" i="4"/>
  <c r="R7" i="4" l="1" a="1"/>
  <c r="R7" i="4" s="1"/>
  <c r="N9" i="4" a="1"/>
  <c r="N9" i="4" s="1"/>
  <c r="S9" i="4" s="1"/>
  <c r="R12" i="4" s="1"/>
  <c r="S12" i="4" s="1"/>
  <c r="R16" i="4" s="1"/>
  <c r="N33" i="4" s="1"/>
  <c r="O7" i="2" a="1"/>
  <c r="O7" i="2" s="1"/>
  <c r="T7" i="2" s="1"/>
  <c r="S11" i="2" s="1"/>
  <c r="T11" i="2" s="1"/>
  <c r="O30" i="2" s="1"/>
  <c r="S6" i="2" a="1"/>
  <c r="S6" i="2" s="1"/>
  <c r="T6" i="2" s="1"/>
  <c r="O11" i="2" s="1"/>
  <c r="O31" i="2" s="1"/>
  <c r="J28" i="4"/>
  <c r="J8" i="2"/>
  <c r="J9" i="2"/>
  <c r="J21" i="4"/>
  <c r="J9" i="4"/>
  <c r="F9" i="2"/>
  <c r="F26" i="4"/>
  <c r="J20" i="4"/>
  <c r="F22" i="4"/>
  <c r="F27" i="4"/>
  <c r="N8" i="4" a="1"/>
  <c r="N8" i="4" s="1"/>
  <c r="N55" i="4" a="1"/>
  <c r="N55" i="4" s="1"/>
  <c r="R51" i="4" a="1"/>
  <c r="R51" i="4" s="1"/>
  <c r="R6" i="4" a="1"/>
  <c r="R6" i="4" s="1"/>
  <c r="S6" i="4" s="1"/>
  <c r="N11" i="4" s="1"/>
  <c r="J6" i="2"/>
  <c r="J6" i="4"/>
  <c r="S7" i="2" l="1" a="1"/>
  <c r="S7" i="2" s="1"/>
  <c r="S9" i="2" s="1"/>
  <c r="O6" i="2" a="1"/>
  <c r="O6" i="2" s="1"/>
  <c r="O9" i="2" s="1"/>
  <c r="T9" i="2" s="1"/>
  <c r="O32" i="2" s="1"/>
  <c r="R8" i="4" a="1"/>
  <c r="R8" i="4" s="1"/>
  <c r="S8" i="4" s="1"/>
  <c r="N12" i="4" s="1"/>
  <c r="N51" i="4" a="1"/>
  <c r="N51" i="4" s="1"/>
  <c r="N6" i="4" a="1"/>
  <c r="N6" i="4" s="1"/>
  <c r="R55" i="4" a="1"/>
  <c r="R55" i="4" s="1"/>
  <c r="N7" i="4" a="1"/>
  <c r="N7" i="4" s="1"/>
  <c r="S7" i="4" s="1"/>
  <c r="R11" i="4" s="1"/>
  <c r="S11" i="4" s="1"/>
  <c r="N16" i="4" s="1"/>
  <c r="S16" i="4" s="1"/>
  <c r="N32" i="4" s="1"/>
  <c r="R9" i="4" a="1"/>
  <c r="R9" i="4" s="1"/>
</calcChain>
</file>

<file path=xl/sharedStrings.xml><?xml version="1.0" encoding="utf-8"?>
<sst xmlns="http://schemas.openxmlformats.org/spreadsheetml/2006/main" count="518" uniqueCount="169">
  <si>
    <t>Группа</t>
  </si>
  <si>
    <t>Команда</t>
  </si>
  <si>
    <t>Игрок</t>
  </si>
  <si>
    <t>Рябошапко Арсен</t>
  </si>
  <si>
    <t>ТАК</t>
  </si>
  <si>
    <t>Ветерани на кріслах колісних колісних</t>
  </si>
  <si>
    <t>Олейник Юрій Валерійович</t>
  </si>
  <si>
    <t>Ширяєв Михайло Юрійович</t>
  </si>
  <si>
    <t>Ветерани на протезах</t>
  </si>
  <si>
    <t>Кутовой Антон</t>
  </si>
  <si>
    <t>Куліков Євген Олександрович</t>
  </si>
  <si>
    <t>Барбінягра Олександр Іванович</t>
  </si>
  <si>
    <t>Лапшинський Олександр Анатолійович</t>
  </si>
  <si>
    <t>Ветерани з невидимими травмами</t>
  </si>
  <si>
    <t>Лещенко Валентин Валерійович</t>
  </si>
  <si>
    <t>Москалюк Вадим Васильович</t>
  </si>
  <si>
    <t>Кухаренко Олександр</t>
  </si>
  <si>
    <t>Васильєв Олексій Михайлович</t>
  </si>
  <si>
    <t>Бичков Олег Володимирович</t>
  </si>
  <si>
    <t>Пархоменко Максим Миколайович</t>
  </si>
  <si>
    <t>Довгань Олександр</t>
  </si>
  <si>
    <t>Катеринич Олександр Олександрович</t>
  </si>
  <si>
    <t>Зімін Михайло Володимирович</t>
  </si>
  <si>
    <t>Папуров Григорій Георгійович</t>
  </si>
  <si>
    <t>ТУРНІР З ПІКЛБОЛУ — ГРУПА 1 (ВЕТЕРАНИ)</t>
  </si>
  <si>
    <t>ТАБЛИЦЯ ГРУПИ 1</t>
  </si>
  <si>
    <t>ФІНАЛЬНА СІТКА PLAY-OFF (1/2 ФІНАЛУ ТА ФІНАЛИ)</t>
  </si>
  <si>
    <t>№</t>
  </si>
  <si>
    <t>Команда (Пара)</t>
  </si>
  <si>
    <t>Ігри</t>
  </si>
  <si>
    <t>В</t>
  </si>
  <si>
    <t>П</t>
  </si>
  <si>
    <t>Очки (+)</t>
  </si>
  <si>
    <t>Очки (-)</t>
  </si>
  <si>
    <t>Різниця (±)</t>
  </si>
  <si>
    <t>Місце</t>
  </si>
  <si>
    <t>Стадія</t>
  </si>
  <si>
    <t>Матч</t>
  </si>
  <si>
    <t>Команда 1</t>
  </si>
  <si>
    <t>Очки 1</t>
  </si>
  <si>
    <t>:</t>
  </si>
  <si>
    <t>Очки 2</t>
  </si>
  <si>
    <t>Команда 2</t>
  </si>
  <si>
    <t>Переможець матчу</t>
  </si>
  <si>
    <t>Статус</t>
  </si>
  <si>
    <t>Примітка / Наступний етап</t>
  </si>
  <si>
    <t>1/2 Фіналу</t>
  </si>
  <si>
    <t>ПФ 1</t>
  </si>
  <si>
    <t>Вихід до Фіналу</t>
  </si>
  <si>
    <t>ПФ 2</t>
  </si>
  <si>
    <t>Матч за 3 місце</t>
  </si>
  <si>
    <t>Бронза</t>
  </si>
  <si>
    <t>🥉 Бронзовий призер</t>
  </si>
  <si>
    <t>ФІНАЛ</t>
  </si>
  <si>
    <t>Золото</t>
  </si>
  <si>
    <t>🏆 ЧЕМПІОН ТУРНІРУ</t>
  </si>
  <si>
    <t>ТАБЛИЦЯ ГРУПИ 2</t>
  </si>
  <si>
    <t>РЕГЛАМЕНТ ПЛЕЙ-ОФ ТА СИСТЕМА ВИЗНАЧЕННЯ МІСЦЬ</t>
  </si>
  <si>
    <t>• 1/2 Фіналу: 1-ше місце Групи 1 грає проти 2-го місця Групи 2 (ПФ 1), а 1-ше місце Групи 2 — проти 2-го місця Групи 1 (ПФ 2)</t>
  </si>
  <si>
    <t>• Фінал: Переможці ПФ 1 та ПФ 2 змагаються за 1-ше місце (Золото) та титул Чемпіона турніру</t>
  </si>
  <si>
    <t>• Матч за 3-тє місце: Команди, які поступилися у півфіналах, розігрують комплект бронзових нагород</t>
  </si>
  <si>
    <t>* 1-2 місця кожної групи виходять до 1/2 фіналу Play-Off</t>
  </si>
  <si>
    <t>• Критерії розподілу місць у групах: 1) Кількість перемог (В); 2) Різниця очок (±); 3) Загальна кількість набраних очок (+)</t>
  </si>
  <si>
    <t>• Рахунок матчів вводиться у світло-жовті комірки стовпчиків «Очки 1» та «Очки 2»</t>
  </si>
  <si>
    <t>РОЗКЛАД ТА РЕЗУЛЬТАТИ МАТЧІВ — ГРУПА 1</t>
  </si>
  <si>
    <t>Різниця</t>
  </si>
  <si>
    <t>Тур 1 • М1</t>
  </si>
  <si>
    <t>Тур 1 • М2</t>
  </si>
  <si>
    <t>Тур 2 • М3</t>
  </si>
  <si>
    <t>Тур 2 • М4</t>
  </si>
  <si>
    <t>Тур 3 • М5</t>
  </si>
  <si>
    <t>Тур 3 • М6</t>
  </si>
  <si>
    <t>ПРИЗЕРИ ТУРНІРУ (ГРУПА 1)</t>
  </si>
  <si>
    <t>Нагорода</t>
  </si>
  <si>
    <t>Команда (Призер)</t>
  </si>
  <si>
    <t>РОЗКЛАД ТА РЕЗУЛЬТАТИ МАТЧІВ — ГРУПА 2</t>
  </si>
  <si>
    <t>🥇 1-ше місце</t>
  </si>
  <si>
    <t>🥈 2-ге місце</t>
  </si>
  <si>
    <t>Срібло</t>
  </si>
  <si>
    <t>Тур 1 • М7</t>
  </si>
  <si>
    <t>🥉 3-тє місце</t>
  </si>
  <si>
    <t>Тур 1 • М8</t>
  </si>
  <si>
    <t>Тур 2 • М9</t>
  </si>
  <si>
    <t>Тур 2 • М10</t>
  </si>
  <si>
    <t>Тур 3 • М11</t>
  </si>
  <si>
    <t>Тур 3 • М12</t>
  </si>
  <si>
    <t>Команда 1 (Рябошапко Арсен / Олейник Юрій Валерійович)</t>
  </si>
  <si>
    <t>Команда 5 (Бичков Олег Володимирович / Пархоменко Максим Миколайович)</t>
  </si>
  <si>
    <t>Команда 6 (Довгань Олександр / Катеринич Олександр Олександрович)</t>
  </si>
  <si>
    <t>Команда 3 (Кутовой Антон / Куліков Євген Олександрович)</t>
  </si>
  <si>
    <t>Команда 4 (Барбінягра Олександр Іванович / Лапшинський Олександр Анатолійович)</t>
  </si>
  <si>
    <t>Команда 2 (Кухаренко Олександр / Васильєв Олексій Михайлович)</t>
  </si>
  <si>
    <t>Команда 8 (Зімін Михайло Володимирович / Папуров Григорій Георгійович)</t>
  </si>
  <si>
    <t>Команда 7 (Лещенко Валентин Валерійович / Москалюк Вадим Васильович)</t>
  </si>
  <si>
    <t>Концевой Сергій Миколайович</t>
  </si>
  <si>
    <t>Парфенюк Сергій Олександрович</t>
  </si>
  <si>
    <t>Пазиніч Сергій Анатолійович</t>
  </si>
  <si>
    <t>Делігіоз Андрій Георгійович</t>
  </si>
  <si>
    <t>Цап Олег</t>
  </si>
  <si>
    <t>Фещук Данило Олександрович</t>
  </si>
  <si>
    <t>Гиряк Роман Михайлович</t>
  </si>
  <si>
    <t>Тарарака Олексій Борисович</t>
  </si>
  <si>
    <t>Татаров Руслан Сергійович</t>
  </si>
  <si>
    <t>Орєшин Микола Семенович</t>
  </si>
  <si>
    <t>Грибонос Олександр Володиморович</t>
  </si>
  <si>
    <t>Горковець Андрій Георгійович</t>
  </si>
  <si>
    <t>Толкачов Сергій Вікторович</t>
  </si>
  <si>
    <t>Трач Ігор Іванович</t>
  </si>
  <si>
    <t>Дучєв Максим Палович</t>
  </si>
  <si>
    <t>Ветерани без поранень</t>
  </si>
  <si>
    <t>Шульга Андрей</t>
  </si>
  <si>
    <t>Прокопович Сергій Михайлович</t>
  </si>
  <si>
    <t>Кравцов Олександр Сергійович</t>
  </si>
  <si>
    <t>Кривонос Андрій Миколайович</t>
  </si>
  <si>
    <t>Мазур Володімір</t>
  </si>
  <si>
    <t>Єрмаков Володимир Володимирович</t>
  </si>
  <si>
    <t>Сторожук Микола Миколайович</t>
  </si>
  <si>
    <t>Нестерчук Вадим Миколайович</t>
  </si>
  <si>
    <t>Глухов Андрій Валерійович</t>
  </si>
  <si>
    <t>Змієвський Станіслав Валерійович</t>
  </si>
  <si>
    <t>Камінський Владислав Олесьович</t>
  </si>
  <si>
    <t>Дідик Сергій Станіславович</t>
  </si>
  <si>
    <t>ТУРНІР З ПІКЛБОЛУ — ГРУПА 2 (ВЕТЕРАНИ)</t>
  </si>
  <si>
    <t>ФІНАЛЬНА СІТКА PLAY-OFF (1/4, 1/2 ФІНАЛУ ТА ФІНАЛИ)</t>
  </si>
  <si>
    <t>1/4 Фіналу</t>
  </si>
  <si>
    <t>ЧФ 1</t>
  </si>
  <si>
    <t>Вихід до 1/2 фіналу</t>
  </si>
  <si>
    <t>ЧФ 2</t>
  </si>
  <si>
    <t>ЧФ 3</t>
  </si>
  <si>
    <t>ЧФ 4</t>
  </si>
  <si>
    <t>ТАБЛИЦЯ ГРУПИ 3</t>
  </si>
  <si>
    <t>• 1/4 Фіналу: 1-ші місця груп грають проти 2-х місць інших груп (1A-2B, 1C-2D, 1B-2A, 1D-2C)</t>
  </si>
  <si>
    <t>• 1/2 Фіналу: Переможці ЧФ 1 та ЧФ 2 формують ПФ 1, переможці ЧФ 3 та ЧФ 4 формують ПФ 2</t>
  </si>
  <si>
    <t>ТАБЛИЦЯ ГРУПИ 4</t>
  </si>
  <si>
    <t>* 1-2 місця кожної групи виходять до 1/4 фіналу Play-Off</t>
  </si>
  <si>
    <t>ПРИЗЕРИ ТУРНІРУ (ГРУПА 2)</t>
  </si>
  <si>
    <t>Команда 2 (Олександр Салабай / Шульга Андрей)</t>
  </si>
  <si>
    <t>Команда 6 (Глухов Андрій Валерійович / Змієвський Станіслав Валерійович)</t>
  </si>
  <si>
    <t>Команда 1 (Сторожук Микола Миколайович / Нестерчук Вадим Миколайович)</t>
  </si>
  <si>
    <t>Команда 5 (Прокопович Сергій Михайлович / Кравцов Олександр Сергійович)</t>
  </si>
  <si>
    <t>РОЗКЛАД ТА РЕЗУЛЬТАТИ МАТЧІВ — ГРУПА 3</t>
  </si>
  <si>
    <t>Тур 1 • М13</t>
  </si>
  <si>
    <t>Тур 2 • М14</t>
  </si>
  <si>
    <t>Тур 3 • М15</t>
  </si>
  <si>
    <t>РОЗКЛАД ТА РЕЗУЛЬТАТИ МАТЧІВ — ГРУПА 4</t>
  </si>
  <si>
    <t>Тур 1 • М16</t>
  </si>
  <si>
    <t>Команда 4 (Тарарака Олексій Борисович / Татаров Руслан Сергійович)</t>
  </si>
  <si>
    <t>Тур 2 • М17</t>
  </si>
  <si>
    <t>Тур 3 • М18</t>
  </si>
  <si>
    <t>Котліна Віра Валеріївна</t>
  </si>
  <si>
    <t>Члени родин ветеранів</t>
  </si>
  <si>
    <t>Концева Еліна Миколаївна</t>
  </si>
  <si>
    <t>Папурова Антоніна Петрівна</t>
  </si>
  <si>
    <t>Крівонос Галина</t>
  </si>
  <si>
    <t>Катеринич Ірина Вікторівна</t>
  </si>
  <si>
    <t>Ільїна Наталія Василівна</t>
  </si>
  <si>
    <t>ТУРНІР З ПІКЛБОЛУ — ГРУПА 3 (ФОРМАТ «АМЕРИКАНО» — 6 МАТЧІВ)</t>
  </si>
  <si>
    <t>1. СКЛАД УЧАСНИЦЬ</t>
  </si>
  <si>
    <t>2. ПІДСУМКОВА ТАБЛИЦЯ ІНДИВІДУАЛЬНОГО РЕЙТИНГУ</t>
  </si>
  <si>
    <t>Гравець (ПІБ)</t>
  </si>
  <si>
    <t>Коротке ім'я</t>
  </si>
  <si>
    <t>Гравець</t>
  </si>
  <si>
    <t>3. РОЗКЛАД ТА РЕЗУЛЬТАТИ МАТЧІВ (АМЕРИКАНО — 6 МАТЧІВ)</t>
  </si>
  <si>
    <t>Пара 1</t>
  </si>
  <si>
    <t>Пара 2</t>
  </si>
  <si>
    <t>Відпочивають</t>
  </si>
  <si>
    <t>Переможець</t>
  </si>
  <si>
    <t>* Рахунок матчів вводиться у стовпчики «Очки 1» та «Очки 2». Переможець та різниця розраховуються автоматично.</t>
  </si>
  <si>
    <t>Салабай Олександр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</si>
</sst>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\ h:mm"/>
    <numFmt numFmtId="165" formatCode="\+0;\-0;0"/>
  </numFmts>
  <fonts count="24" x14ac:knownFonts="1">
    <font>
      <sz val="10"/>
      <color rgb="FF000000"/>
      <name val="Arial"/>
      <scheme val="minor"/>
    </font>
    <font>
      <sz val="12"/>
      <color rgb="FF000000"/>
      <name val="Helvetica"/>
    </font>
    <font>
      <sz val="10"/>
      <color rgb="FF333333"/>
      <name val="Helvetica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sz val="10"/>
      <color rgb="FF000000"/>
      <name val="Tahoma"/>
      <family val="2"/>
      <charset val="204"/>
    </font>
    <font>
      <b/>
      <sz val="15"/>
      <color rgb="FFFFFFFF"/>
      <name val="Arial"/>
      <family val="2"/>
      <charset val="204"/>
      <scheme val="minor"/>
    </font>
    <font>
      <b/>
      <sz val="12"/>
      <color rgb="FFFFFFFF"/>
      <name val="Arial"/>
      <family val="2"/>
      <charset val="204"/>
      <scheme val="minor"/>
    </font>
    <font>
      <sz val="10"/>
      <name val="Arial"/>
      <family val="2"/>
      <charset val="204"/>
    </font>
    <font>
      <b/>
      <sz val="13"/>
      <color rgb="FFFFFFFF"/>
      <name val="Arial"/>
      <family val="2"/>
      <charset val="204"/>
      <scheme val="minor"/>
    </font>
    <font>
      <b/>
      <sz val="10"/>
      <color rgb="FFFFFFFF"/>
      <name val="Arial"/>
      <family val="2"/>
      <charset val="204"/>
      <scheme val="minor"/>
    </font>
    <font>
      <b/>
      <sz val="9"/>
      <color rgb="FFFFFFFF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b/>
      <sz val="11"/>
      <color theme="1"/>
      <name val="Arial"/>
      <family val="2"/>
      <charset val="204"/>
      <scheme val="minor"/>
    </font>
    <font>
      <sz val="9"/>
      <color rgb="FF334154"/>
      <name val="Arial"/>
      <family val="2"/>
      <charset val="204"/>
      <scheme val="minor"/>
    </font>
    <font>
      <i/>
      <sz val="9"/>
      <color rgb="FF334154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</font>
    <font>
      <b/>
      <sz val="10"/>
      <color rgb="FF1B365D"/>
      <name val="Arial"/>
      <family val="2"/>
      <charset val="204"/>
      <scheme val="minor"/>
    </font>
    <font>
      <sz val="9"/>
      <color rgb="FF3F3F3F"/>
      <name val="Arial"/>
      <family val="2"/>
      <charset val="204"/>
      <scheme val="minor"/>
    </font>
    <font>
      <i/>
      <sz val="10"/>
      <color rgb="FF333333"/>
      <name val="Arial"/>
      <family val="2"/>
      <charset val="204"/>
      <scheme val="minor"/>
    </font>
    <font>
      <b/>
      <sz val="14"/>
      <color rgb="FFFFFFFF"/>
      <name val="Arial"/>
      <family val="2"/>
      <charset val="204"/>
      <scheme val="minor"/>
    </font>
    <font>
      <b/>
      <sz val="11"/>
      <color rgb="FFFFFFFF"/>
      <name val="Arial"/>
      <family val="2"/>
      <charset val="204"/>
      <scheme val="minor"/>
    </font>
    <font>
      <i/>
      <sz val="9"/>
      <color rgb="FF595959"/>
      <name val="Arial"/>
      <family val="2"/>
      <charset val="20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54677"/>
        <bgColor rgb="FF254677"/>
      </patternFill>
    </fill>
    <fill>
      <patternFill patternType="solid">
        <fgColor rgb="FF3D628D"/>
        <bgColor rgb="FF3D628D"/>
      </patternFill>
    </fill>
    <fill>
      <patternFill patternType="solid">
        <fgColor rgb="FFFFFAEA"/>
        <bgColor rgb="FFFFFAEA"/>
      </patternFill>
    </fill>
    <fill>
      <patternFill patternType="solid">
        <fgColor rgb="FFF7F8FB"/>
        <bgColor rgb="FFF7F8FB"/>
      </patternFill>
    </fill>
    <fill>
      <patternFill patternType="solid">
        <fgColor rgb="FFECF1F7"/>
        <bgColor rgb="FFECF1F7"/>
      </patternFill>
    </fill>
    <fill>
      <patternFill patternType="solid">
        <fgColor rgb="FFFDF8C3"/>
        <bgColor rgb="FFFDF8C3"/>
      </patternFill>
    </fill>
    <fill>
      <patternFill patternType="solid">
        <fgColor rgb="FFF0F5F8"/>
        <bgColor rgb="FFF0F5F8"/>
      </patternFill>
    </fill>
    <fill>
      <patternFill patternType="solid">
        <fgColor rgb="FFFFECD4"/>
        <bgColor rgb="FFFFECD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EAEFF7"/>
        <bgColor rgb="FFEAEFF7"/>
      </patternFill>
    </fill>
    <fill>
      <patternFill patternType="solid">
        <fgColor rgb="FFFFFFFF"/>
        <bgColor rgb="FFFFFFFF"/>
      </patternFill>
    </fill>
    <fill>
      <patternFill patternType="solid">
        <fgColor rgb="FF1A355D"/>
        <bgColor rgb="FF1A355D"/>
      </patternFill>
    </fill>
    <fill>
      <patternFill patternType="solid">
        <fgColor rgb="FF244677"/>
        <bgColor rgb="FF244677"/>
      </patternFill>
    </fill>
    <fill>
      <patternFill patternType="solid">
        <fgColor rgb="FF3D618D"/>
        <bgColor rgb="FF3D618D"/>
      </patternFill>
    </fill>
    <fill>
      <patternFill patternType="solid">
        <fgColor rgb="FFFFF8E0"/>
        <bgColor rgb="FFFFF8E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342052"/>
      </right>
      <top style="thin">
        <color rgb="FF342052"/>
      </top>
      <bottom style="thin">
        <color rgb="FFC1C1C1"/>
      </bottom>
      <diagonal/>
    </border>
    <border>
      <left style="thin">
        <color rgb="FF342052"/>
      </left>
      <right style="thin">
        <color rgb="FF342052"/>
      </right>
      <top style="thin">
        <color rgb="FF342052"/>
      </top>
      <bottom style="thin">
        <color rgb="FFC1C1C1"/>
      </bottom>
      <diagonal/>
    </border>
    <border>
      <left style="thin">
        <color rgb="FF342052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 style="thin">
        <color rgb="FF342052"/>
      </right>
      <top style="thin">
        <color rgb="FF342052"/>
      </top>
      <bottom style="thin">
        <color rgb="FF342052"/>
      </bottom>
      <diagonal/>
    </border>
    <border>
      <left style="thin">
        <color rgb="FF342052"/>
      </left>
      <right style="thin">
        <color rgb="FF342052"/>
      </right>
      <top style="thin">
        <color rgb="FF342052"/>
      </top>
      <bottom style="thin">
        <color rgb="FF342052"/>
      </bottom>
      <diagonal/>
    </border>
    <border>
      <left style="thin">
        <color rgb="FF342052"/>
      </left>
      <right style="thin">
        <color rgb="FFC1C1C1"/>
      </right>
      <top style="thin">
        <color rgb="FFE2E5E8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E2E5E8"/>
      </top>
      <bottom style="thin">
        <color rgb="FFC1C1C1"/>
      </bottom>
      <diagonal/>
    </border>
    <border>
      <left style="thin">
        <color rgb="FF9A9A9A"/>
      </left>
      <right style="thin">
        <color rgb="FFC1C1C1"/>
      </right>
      <top/>
      <bottom style="thin">
        <color rgb="FF9A9A9A"/>
      </bottom>
      <diagonal/>
    </border>
    <border>
      <left style="thin">
        <color rgb="FFC1C1C1"/>
      </left>
      <right style="thin">
        <color rgb="FFC1C1C1"/>
      </right>
      <top/>
      <bottom style="thin">
        <color rgb="FFC1C1C1"/>
      </bottom>
      <diagonal/>
    </border>
    <border>
      <left style="thin">
        <color rgb="FF9A9A9A"/>
      </left>
      <right style="thin">
        <color rgb="FFC1C1C1"/>
      </right>
      <top style="thin">
        <color rgb="FF9A9A9A"/>
      </top>
      <bottom style="thin">
        <color rgb="FF9A9A9A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7D7D7"/>
      </left>
      <right/>
      <top style="thin">
        <color rgb="FFD7D7D7"/>
      </top>
      <bottom style="thin">
        <color rgb="FFD7D7D7"/>
      </bottom>
      <diagonal/>
    </border>
    <border>
      <left/>
      <right/>
      <top style="thin">
        <color rgb="FFD7D7D7"/>
      </top>
      <bottom style="thin">
        <color rgb="FFD7D7D7"/>
      </bottom>
      <diagonal/>
    </border>
    <border>
      <left/>
      <right style="thin">
        <color rgb="FFD7D7D7"/>
      </right>
      <top style="thin">
        <color rgb="FFD7D7D7"/>
      </top>
      <bottom style="thin">
        <color rgb="FFD7D7D7"/>
      </bottom>
      <diagonal/>
    </border>
    <border>
      <left style="thin">
        <color rgb="FFD7D7D7"/>
      </left>
      <right style="thin">
        <color rgb="FFD7D7D7"/>
      </right>
      <top style="thin">
        <color rgb="FFD7D7D7"/>
      </top>
      <bottom style="thin">
        <color rgb="FFD7D7D7"/>
      </bottom>
      <diagonal/>
    </border>
    <border>
      <left style="thin">
        <color rgb="FF342052"/>
      </left>
      <right style="thin">
        <color rgb="FF342052"/>
      </right>
      <top style="thin">
        <color rgb="FF342052"/>
      </top>
      <bottom/>
      <diagonal/>
    </border>
    <border>
      <left/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0" xfId="0" applyFont="1"/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vertical="center" wrapText="1"/>
    </xf>
    <xf numFmtId="165" fontId="12" fillId="0" borderId="16" xfId="0" applyNumberFormat="1" applyFont="1" applyBorder="1" applyAlignment="1">
      <alignment horizontal="center" vertical="center" wrapText="1"/>
    </xf>
    <xf numFmtId="0" fontId="13" fillId="5" borderId="16" xfId="0" applyFont="1" applyFill="1" applyBorder="1" applyAlignment="1">
      <alignment horizontal="center" vertical="center" wrapText="1"/>
    </xf>
    <xf numFmtId="0" fontId="3" fillId="0" borderId="0" xfId="0" applyFont="1"/>
    <xf numFmtId="0" fontId="13" fillId="0" borderId="16" xfId="0" applyFont="1" applyBorder="1" applyAlignment="1">
      <alignment horizontal="center" vertical="center" wrapText="1"/>
    </xf>
    <xf numFmtId="165" fontId="3" fillId="0" borderId="16" xfId="0" applyNumberFormat="1" applyFont="1" applyBorder="1" applyAlignment="1">
      <alignment horizontal="center" vertical="center" wrapText="1"/>
    </xf>
    <xf numFmtId="0" fontId="16" fillId="8" borderId="16" xfId="0" applyFont="1" applyFill="1" applyBorder="1" applyAlignment="1">
      <alignment horizontal="left" vertical="center" wrapText="1"/>
    </xf>
    <xf numFmtId="0" fontId="16" fillId="9" borderId="16" xfId="0" applyFont="1" applyFill="1" applyBorder="1" applyAlignment="1">
      <alignment horizontal="left" vertical="center" wrapText="1"/>
    </xf>
    <xf numFmtId="0" fontId="16" fillId="10" borderId="1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0" fillId="4" borderId="20" xfId="0" applyFont="1" applyFill="1" applyBorder="1" applyAlignment="1">
      <alignment horizontal="center" vertical="center"/>
    </xf>
    <xf numFmtId="0" fontId="3" fillId="0" borderId="20" xfId="0" applyFont="1" applyBorder="1"/>
    <xf numFmtId="0" fontId="3" fillId="0" borderId="20" xfId="0" applyFont="1" applyBorder="1" applyAlignment="1">
      <alignment horizontal="center" vertical="center"/>
    </xf>
    <xf numFmtId="165" fontId="12" fillId="0" borderId="20" xfId="0" applyNumberFormat="1" applyFont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0" fontId="3" fillId="12" borderId="20" xfId="0" applyFont="1" applyFill="1" applyBorder="1"/>
    <xf numFmtId="0" fontId="13" fillId="0" borderId="20" xfId="0" applyFont="1" applyBorder="1" applyAlignment="1">
      <alignment horizontal="center" vertical="center"/>
    </xf>
    <xf numFmtId="0" fontId="3" fillId="14" borderId="0" xfId="0" applyFont="1" applyFill="1"/>
    <xf numFmtId="0" fontId="1" fillId="0" borderId="21" xfId="0" applyFont="1" applyBorder="1" applyAlignment="1">
      <alignment horizontal="center"/>
    </xf>
    <xf numFmtId="164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3" fillId="14" borderId="4" xfId="0" applyFont="1" applyFill="1" applyBorder="1"/>
    <xf numFmtId="0" fontId="3" fillId="14" borderId="5" xfId="0" applyFont="1" applyFill="1" applyBorder="1"/>
    <xf numFmtId="0" fontId="3" fillId="14" borderId="22" xfId="0" applyFont="1" applyFill="1" applyBorder="1"/>
    <xf numFmtId="0" fontId="3" fillId="0" borderId="22" xfId="0" applyFont="1" applyBorder="1"/>
    <xf numFmtId="0" fontId="3" fillId="0" borderId="5" xfId="0" applyFont="1" applyBorder="1"/>
    <xf numFmtId="0" fontId="3" fillId="14" borderId="10" xfId="0" applyFont="1" applyFill="1" applyBorder="1"/>
    <xf numFmtId="0" fontId="3" fillId="14" borderId="11" xfId="0" applyFont="1" applyFill="1" applyBorder="1"/>
    <xf numFmtId="0" fontId="3" fillId="14" borderId="12" xfId="0" applyFont="1" applyFill="1" applyBorder="1"/>
    <xf numFmtId="0" fontId="10" fillId="17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left" vertical="center"/>
    </xf>
    <xf numFmtId="0" fontId="12" fillId="0" borderId="20" xfId="0" applyFont="1" applyBorder="1" applyAlignment="1">
      <alignment horizontal="center" vertical="center"/>
    </xf>
    <xf numFmtId="0" fontId="12" fillId="18" borderId="20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8" fillId="0" borderId="18" xfId="0" applyFont="1" applyBorder="1"/>
    <xf numFmtId="0" fontId="8" fillId="0" borderId="19" xfId="0" applyFont="1" applyBorder="1"/>
    <xf numFmtId="0" fontId="19" fillId="0" borderId="0" xfId="0" applyFont="1" applyAlignment="1">
      <alignment horizontal="left" vertical="center"/>
    </xf>
    <xf numFmtId="0" fontId="0" fillId="0" borderId="0" xfId="0"/>
    <xf numFmtId="0" fontId="20" fillId="0" borderId="0" xfId="0" applyFont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8" fillId="13" borderId="0" xfId="0" applyFont="1" applyFill="1" applyAlignment="1">
      <alignment horizontal="left" vertical="center"/>
    </xf>
    <xf numFmtId="0" fontId="16" fillId="10" borderId="13" xfId="0" applyFont="1" applyFill="1" applyBorder="1" applyAlignment="1">
      <alignment horizontal="left" vertical="center" wrapText="1"/>
    </xf>
    <xf numFmtId="0" fontId="8" fillId="0" borderId="14" xfId="0" applyFont="1" applyBorder="1"/>
    <xf numFmtId="0" fontId="8" fillId="0" borderId="15" xfId="0" applyFont="1" applyBorder="1"/>
    <xf numFmtId="0" fontId="14" fillId="6" borderId="0" xfId="0" applyFont="1" applyFill="1" applyAlignment="1">
      <alignment horizontal="left" vertical="center" wrapText="1"/>
    </xf>
    <xf numFmtId="0" fontId="15" fillId="7" borderId="0" xfId="0" applyFont="1" applyFill="1" applyAlignment="1">
      <alignment horizontal="left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6" fillId="8" borderId="13" xfId="0" applyFont="1" applyFill="1" applyBorder="1" applyAlignment="1">
      <alignment horizontal="left" vertical="center" wrapText="1"/>
    </xf>
    <xf numFmtId="0" fontId="16" fillId="9" borderId="13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left" vertical="center" wrapText="1"/>
    </xf>
    <xf numFmtId="0" fontId="21" fillId="15" borderId="0" xfId="0" applyFont="1" applyFill="1" applyAlignment="1">
      <alignment horizontal="center" vertical="center"/>
    </xf>
    <xf numFmtId="0" fontId="22" fillId="16" borderId="17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/>
    </xf>
  </cellXfs>
  <cellStyles count="1">
    <cellStyle name="Normal" xfId="0" builtinId="0"/>
  </cellStyles>
  <dxfs count="3">
    <dxf>
      <fill>
        <patternFill patternType="solid">
          <fgColor rgb="FFF4F7FD"/>
          <bgColor rgb="FFF4F7F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E3989"/>
          <bgColor rgb="FF1E3989"/>
        </patternFill>
      </fill>
    </dxf>
  </dxfs>
  <tableStyles count="1">
    <tableStyle name="Реєстрація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952"/>
  <sheetViews>
    <sheetView tabSelected="1" workbookViewId="0">
      <selection activeCell="J2" sqref="J2:K17"/>
    </sheetView>
  </sheetViews>
  <sheetFormatPr defaultColWidth="12.5703125" defaultRowHeight="15.75" customHeight="1" x14ac:dyDescent="0.2"/>
  <cols>
    <col min="1" max="1" width="14.42578125" customWidth="1"/>
    <col min="2" max="2" width="13.85546875" customWidth="1"/>
    <col min="3" max="4" width="12.140625" customWidth="1"/>
    <col min="5" max="5" width="37.5703125" customWidth="1"/>
    <col min="6" max="7" width="29" customWidth="1"/>
    <col min="8" max="8" width="23.140625" customWidth="1"/>
    <col min="9" max="9" width="36.7109375" customWidth="1"/>
    <col min="10" max="10" width="19.85546875" customWidth="1"/>
    <col min="11" max="11" width="21.85546875" customWidth="1"/>
    <col min="12" max="12" width="17.140625" customWidth="1"/>
  </cols>
  <sheetData>
    <row r="1" spans="1:30" x14ac:dyDescent="0.2">
      <c r="A1" s="1"/>
      <c r="B1" s="2"/>
      <c r="C1" s="3" t="s">
        <v>0</v>
      </c>
      <c r="D1" s="3" t="s">
        <v>1</v>
      </c>
      <c r="E1" s="3" t="s">
        <v>2</v>
      </c>
      <c r="F1" s="3"/>
      <c r="G1" s="3"/>
      <c r="H1" s="3"/>
      <c r="I1" s="3"/>
      <c r="J1" s="4"/>
      <c r="K1" s="4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x14ac:dyDescent="0.2">
      <c r="A2" s="1">
        <v>2</v>
      </c>
      <c r="B2" s="2">
        <v>46286.384722222225</v>
      </c>
      <c r="C2" s="3">
        <v>1</v>
      </c>
      <c r="D2" s="3">
        <v>1</v>
      </c>
      <c r="E2" s="3" t="s">
        <v>3</v>
      </c>
      <c r="F2" s="3">
        <v>2</v>
      </c>
      <c r="G2" s="3">
        <v>2</v>
      </c>
      <c r="H2" s="3" t="s">
        <v>4</v>
      </c>
      <c r="I2" s="3" t="s">
        <v>5</v>
      </c>
      <c r="J2" s="6"/>
      <c r="K2" s="7"/>
      <c r="L2" s="7" t="s">
        <v>4</v>
      </c>
      <c r="M2" s="8"/>
      <c r="N2" s="9"/>
      <c r="O2" s="9"/>
      <c r="P2" s="9"/>
      <c r="Q2" s="9"/>
      <c r="R2" s="9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x14ac:dyDescent="0.2">
      <c r="A3" s="1">
        <v>42</v>
      </c>
      <c r="B3" s="2">
        <v>46299.40902777778</v>
      </c>
      <c r="C3" s="3">
        <v>1</v>
      </c>
      <c r="D3" s="3">
        <v>1.2</v>
      </c>
      <c r="E3" s="3" t="s">
        <v>6</v>
      </c>
      <c r="F3" s="3">
        <v>2</v>
      </c>
      <c r="G3" s="3">
        <v>2</v>
      </c>
      <c r="H3" s="3" t="s">
        <v>7</v>
      </c>
      <c r="I3" s="3" t="s">
        <v>8</v>
      </c>
      <c r="J3" s="10"/>
      <c r="K3" s="11"/>
      <c r="L3" s="11" t="s">
        <v>4</v>
      </c>
      <c r="M3" s="8"/>
      <c r="N3" s="9"/>
      <c r="O3" s="9"/>
      <c r="P3" s="9"/>
      <c r="Q3" s="9"/>
      <c r="R3" s="9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x14ac:dyDescent="0.2">
      <c r="A4" s="1"/>
      <c r="B4" s="2"/>
      <c r="C4" s="12">
        <v>1</v>
      </c>
      <c r="D4" s="12">
        <v>3</v>
      </c>
      <c r="E4" s="12" t="s">
        <v>9</v>
      </c>
      <c r="F4" s="3">
        <v>2</v>
      </c>
      <c r="G4" s="3">
        <v>2</v>
      </c>
      <c r="H4" s="3"/>
      <c r="I4" s="3"/>
      <c r="J4" s="10"/>
      <c r="K4" s="11"/>
      <c r="L4" s="11"/>
      <c r="M4" s="8"/>
      <c r="N4" s="9"/>
      <c r="O4" s="9"/>
      <c r="P4" s="9"/>
      <c r="Q4" s="9"/>
      <c r="R4" s="9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x14ac:dyDescent="0.2">
      <c r="A5" s="1">
        <v>43</v>
      </c>
      <c r="B5" s="2">
        <v>46299.468055555553</v>
      </c>
      <c r="C5" s="3">
        <v>1</v>
      </c>
      <c r="D5" s="3">
        <v>3.2</v>
      </c>
      <c r="E5" s="3" t="s">
        <v>10</v>
      </c>
      <c r="F5" s="3">
        <v>2</v>
      </c>
      <c r="G5" s="3">
        <v>2</v>
      </c>
      <c r="H5" s="3" t="s">
        <v>4</v>
      </c>
      <c r="I5" s="3" t="s">
        <v>8</v>
      </c>
      <c r="J5" s="10"/>
      <c r="K5" s="11"/>
      <c r="L5" s="11" t="s">
        <v>4</v>
      </c>
      <c r="M5" s="8"/>
      <c r="N5" s="9"/>
      <c r="O5" s="9"/>
      <c r="P5" s="9"/>
      <c r="Q5" s="9"/>
      <c r="R5" s="9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x14ac:dyDescent="0.2">
      <c r="A6" s="1">
        <v>46</v>
      </c>
      <c r="B6" s="2">
        <v>46299.820833333331</v>
      </c>
      <c r="C6" s="3">
        <v>1</v>
      </c>
      <c r="D6" s="3">
        <v>4</v>
      </c>
      <c r="E6" s="3" t="s">
        <v>11</v>
      </c>
      <c r="F6" s="3">
        <v>2</v>
      </c>
      <c r="G6" s="3">
        <v>2</v>
      </c>
      <c r="H6" s="3" t="s">
        <v>4</v>
      </c>
      <c r="I6" s="3" t="s">
        <v>5</v>
      </c>
      <c r="J6" s="10"/>
      <c r="K6" s="11"/>
      <c r="L6" s="11" t="s">
        <v>4</v>
      </c>
      <c r="M6" s="8"/>
      <c r="N6" s="9"/>
      <c r="O6" s="9"/>
      <c r="P6" s="9"/>
      <c r="Q6" s="9"/>
      <c r="R6" s="9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x14ac:dyDescent="0.2">
      <c r="A7" s="1">
        <v>27</v>
      </c>
      <c r="B7" s="2">
        <v>46291.561111111114</v>
      </c>
      <c r="C7" s="3">
        <v>1</v>
      </c>
      <c r="D7" s="3">
        <v>4.2</v>
      </c>
      <c r="E7" s="3" t="s">
        <v>12</v>
      </c>
      <c r="F7" s="3">
        <v>2</v>
      </c>
      <c r="G7" s="3">
        <v>1</v>
      </c>
      <c r="H7" s="3" t="s">
        <v>4</v>
      </c>
      <c r="I7" s="3" t="s">
        <v>13</v>
      </c>
      <c r="J7" s="10"/>
      <c r="K7" s="11"/>
      <c r="L7" s="11" t="s">
        <v>4</v>
      </c>
      <c r="M7" s="8"/>
      <c r="N7" s="9"/>
      <c r="O7" s="9"/>
      <c r="P7" s="9"/>
      <c r="Q7" s="9"/>
      <c r="R7" s="9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x14ac:dyDescent="0.2">
      <c r="A8" s="1">
        <v>26</v>
      </c>
      <c r="B8" s="2">
        <v>46291.370833333334</v>
      </c>
      <c r="C8" s="3">
        <v>1</v>
      </c>
      <c r="D8" s="3">
        <v>7</v>
      </c>
      <c r="E8" s="3" t="s">
        <v>14</v>
      </c>
      <c r="F8" s="3">
        <v>2</v>
      </c>
      <c r="G8" s="3">
        <v>2</v>
      </c>
      <c r="H8" s="3" t="s">
        <v>4</v>
      </c>
      <c r="I8" s="3" t="s">
        <v>5</v>
      </c>
      <c r="J8" s="10"/>
      <c r="K8" s="11"/>
      <c r="L8" s="11" t="s">
        <v>4</v>
      </c>
      <c r="M8" s="8"/>
      <c r="N8" s="9"/>
      <c r="O8" s="9"/>
      <c r="P8" s="9"/>
      <c r="Q8" s="9"/>
      <c r="R8" s="9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x14ac:dyDescent="0.2">
      <c r="A9" s="1">
        <v>40</v>
      </c>
      <c r="B9" s="2">
        <v>46298.913888888892</v>
      </c>
      <c r="C9" s="3">
        <v>1</v>
      </c>
      <c r="D9" s="3">
        <v>7.2</v>
      </c>
      <c r="E9" s="3" t="s">
        <v>15</v>
      </c>
      <c r="F9" s="3">
        <v>2</v>
      </c>
      <c r="G9" s="3">
        <v>1</v>
      </c>
      <c r="H9" s="3" t="s">
        <v>4</v>
      </c>
      <c r="I9" s="3" t="s">
        <v>13</v>
      </c>
      <c r="J9" s="10"/>
      <c r="K9" s="11"/>
      <c r="L9" s="11" t="s">
        <v>4</v>
      </c>
      <c r="M9" s="8"/>
      <c r="N9" s="9"/>
      <c r="O9" s="9"/>
      <c r="P9" s="9"/>
      <c r="Q9" s="9"/>
      <c r="R9" s="9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x14ac:dyDescent="0.2">
      <c r="A10" s="1"/>
      <c r="B10" s="2"/>
      <c r="C10" s="12">
        <v>2</v>
      </c>
      <c r="D10" s="12">
        <v>2</v>
      </c>
      <c r="E10" s="12" t="s">
        <v>16</v>
      </c>
      <c r="F10" s="3">
        <v>2</v>
      </c>
      <c r="G10" s="3">
        <v>2</v>
      </c>
      <c r="H10" s="3"/>
      <c r="I10" s="3"/>
      <c r="J10" s="10"/>
      <c r="K10" s="11"/>
      <c r="L10" s="11"/>
      <c r="M10" s="13"/>
      <c r="N10" s="14"/>
      <c r="O10" s="14"/>
      <c r="P10" s="14"/>
      <c r="Q10" s="14"/>
      <c r="R10" s="14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x14ac:dyDescent="0.2">
      <c r="A11" s="1">
        <v>17</v>
      </c>
      <c r="B11" s="2">
        <v>46288.915972222225</v>
      </c>
      <c r="C11" s="3">
        <v>2</v>
      </c>
      <c r="D11" s="3">
        <v>2.2000000000000002</v>
      </c>
      <c r="E11" s="3" t="s">
        <v>17</v>
      </c>
      <c r="F11" s="3">
        <v>2</v>
      </c>
      <c r="G11" s="3">
        <v>1</v>
      </c>
      <c r="H11" s="3" t="s">
        <v>4</v>
      </c>
      <c r="I11" s="3" t="s">
        <v>13</v>
      </c>
      <c r="J11" s="10"/>
      <c r="K11" s="11"/>
      <c r="L11" s="11" t="s">
        <v>4</v>
      </c>
      <c r="M11" s="8"/>
      <c r="N11" s="9"/>
      <c r="O11" s="9"/>
      <c r="P11" s="9"/>
      <c r="Q11" s="9"/>
      <c r="R11" s="9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x14ac:dyDescent="0.2">
      <c r="A12" s="1">
        <v>28</v>
      </c>
      <c r="B12" s="2">
        <v>46291.564583333333</v>
      </c>
      <c r="C12" s="3">
        <v>2</v>
      </c>
      <c r="D12" s="3">
        <v>5</v>
      </c>
      <c r="E12" s="3" t="s">
        <v>18</v>
      </c>
      <c r="F12" s="3">
        <v>2</v>
      </c>
      <c r="G12" s="3">
        <v>2</v>
      </c>
      <c r="H12" s="3" t="s">
        <v>4</v>
      </c>
      <c r="I12" s="3" t="s">
        <v>5</v>
      </c>
      <c r="J12" s="10"/>
      <c r="K12" s="11"/>
      <c r="L12" s="11" t="s">
        <v>4</v>
      </c>
      <c r="M12" s="8"/>
      <c r="N12" s="9"/>
      <c r="O12" s="9"/>
      <c r="P12" s="9"/>
      <c r="Q12" s="9"/>
      <c r="R12" s="9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x14ac:dyDescent="0.2">
      <c r="A13" s="1">
        <v>18</v>
      </c>
      <c r="B13" s="2">
        <v>46288.990277777775</v>
      </c>
      <c r="C13" s="3">
        <v>2</v>
      </c>
      <c r="D13" s="3">
        <v>5.2</v>
      </c>
      <c r="E13" s="3" t="s">
        <v>19</v>
      </c>
      <c r="F13" s="3">
        <v>2</v>
      </c>
      <c r="G13" s="3">
        <v>2</v>
      </c>
      <c r="H13" s="3" t="s">
        <v>4</v>
      </c>
      <c r="I13" s="3" t="s">
        <v>8</v>
      </c>
      <c r="J13" s="10"/>
      <c r="K13" s="11"/>
      <c r="L13" s="11" t="s">
        <v>4</v>
      </c>
      <c r="M13" s="8"/>
      <c r="N13" s="9"/>
      <c r="O13" s="9"/>
      <c r="P13" s="9"/>
      <c r="Q13" s="9"/>
      <c r="R13" s="9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x14ac:dyDescent="0.2">
      <c r="A14" s="1"/>
      <c r="B14" s="2"/>
      <c r="C14" s="12">
        <v>2</v>
      </c>
      <c r="D14" s="12">
        <v>6</v>
      </c>
      <c r="E14" s="15" t="s">
        <v>20</v>
      </c>
      <c r="F14" s="3">
        <v>2</v>
      </c>
      <c r="G14" s="3">
        <v>2</v>
      </c>
      <c r="H14" s="3"/>
      <c r="I14" s="3"/>
      <c r="J14" s="10"/>
      <c r="K14" s="11"/>
      <c r="L14" s="11"/>
      <c r="M14" s="8"/>
      <c r="N14" s="9"/>
      <c r="O14" s="9"/>
      <c r="P14" s="9"/>
      <c r="Q14" s="9"/>
      <c r="R14" s="9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x14ac:dyDescent="0.2">
      <c r="A15" s="1">
        <v>7</v>
      </c>
      <c r="B15" s="2">
        <v>46286.672222222223</v>
      </c>
      <c r="C15" s="3">
        <v>2</v>
      </c>
      <c r="D15" s="3">
        <v>6.2</v>
      </c>
      <c r="E15" s="3" t="s">
        <v>21</v>
      </c>
      <c r="F15" s="3">
        <v>2</v>
      </c>
      <c r="G15" s="3">
        <v>2</v>
      </c>
      <c r="H15" s="3" t="s">
        <v>4</v>
      </c>
      <c r="I15" s="3" t="s">
        <v>8</v>
      </c>
      <c r="J15" s="10"/>
      <c r="K15" s="11"/>
      <c r="L15" s="11" t="s">
        <v>4</v>
      </c>
      <c r="M15" s="8"/>
      <c r="N15" s="9"/>
      <c r="O15" s="9"/>
      <c r="P15" s="9"/>
      <c r="Q15" s="9"/>
      <c r="R15" s="9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x14ac:dyDescent="0.2">
      <c r="A16" s="1">
        <v>3</v>
      </c>
      <c r="B16" s="2">
        <v>46286.387499999997</v>
      </c>
      <c r="C16" s="3">
        <v>2</v>
      </c>
      <c r="D16" s="3">
        <v>8</v>
      </c>
      <c r="E16" s="3" t="s">
        <v>22</v>
      </c>
      <c r="F16" s="3">
        <v>2</v>
      </c>
      <c r="G16" s="3">
        <v>2</v>
      </c>
      <c r="H16" s="3" t="s">
        <v>4</v>
      </c>
      <c r="I16" s="3" t="s">
        <v>5</v>
      </c>
      <c r="J16" s="10"/>
      <c r="K16" s="11"/>
      <c r="L16" s="11" t="s">
        <v>4</v>
      </c>
      <c r="M16" s="8"/>
      <c r="N16" s="9"/>
      <c r="O16" s="9"/>
      <c r="P16" s="9"/>
      <c r="Q16" s="9"/>
      <c r="R16" s="9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x14ac:dyDescent="0.2">
      <c r="A17" s="1">
        <v>4</v>
      </c>
      <c r="B17" s="2">
        <v>46286.417361111111</v>
      </c>
      <c r="C17" s="3">
        <v>2</v>
      </c>
      <c r="D17" s="3">
        <v>8.1999999999999993</v>
      </c>
      <c r="E17" s="3" t="s">
        <v>23</v>
      </c>
      <c r="F17" s="3">
        <v>2</v>
      </c>
      <c r="G17" s="3">
        <v>1</v>
      </c>
      <c r="H17" s="3" t="s">
        <v>4</v>
      </c>
      <c r="I17" s="3" t="s">
        <v>13</v>
      </c>
      <c r="J17" s="10"/>
      <c r="K17" s="11"/>
      <c r="L17" s="11" t="s">
        <v>4</v>
      </c>
      <c r="M17" s="8"/>
      <c r="N17" s="9"/>
      <c r="O17" s="9"/>
      <c r="P17" s="9"/>
      <c r="Q17" s="9"/>
      <c r="R17" s="9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x14ac:dyDescent="0.2">
      <c r="A18" s="16"/>
      <c r="B18" s="17"/>
      <c r="C18" s="17"/>
      <c r="D18" s="17"/>
      <c r="E18" s="17"/>
      <c r="F18" s="17"/>
      <c r="G18" s="17"/>
      <c r="H18" s="17"/>
      <c r="I18" s="17"/>
      <c r="J18" s="9"/>
      <c r="K18" s="9"/>
      <c r="L18" s="9"/>
      <c r="M18" s="9"/>
      <c r="N18" s="9"/>
      <c r="O18" s="9"/>
      <c r="P18" s="9"/>
      <c r="Q18" s="9"/>
      <c r="R18" s="9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x14ac:dyDescent="0.2">
      <c r="A19" s="18"/>
      <c r="B19" s="9"/>
      <c r="C19" s="9"/>
      <c r="D19" s="9"/>
      <c r="E19" s="1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x14ac:dyDescent="0.2">
      <c r="A20" s="18"/>
      <c r="B20" s="9"/>
      <c r="C20" s="9"/>
      <c r="D20" s="9"/>
      <c r="E20" s="1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x14ac:dyDescent="0.2">
      <c r="A21" s="18"/>
      <c r="B21" s="9"/>
      <c r="C21" s="9"/>
      <c r="D21" s="9"/>
      <c r="E21" s="3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x14ac:dyDescent="0.2">
      <c r="A22" s="18"/>
      <c r="B22" s="9"/>
      <c r="C22" s="9"/>
      <c r="D22" s="9"/>
      <c r="E22" s="1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x14ac:dyDescent="0.2">
      <c r="A23" s="18"/>
      <c r="B23" s="9"/>
      <c r="C23" s="9"/>
      <c r="D23" s="9"/>
      <c r="E23" s="1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x14ac:dyDescent="0.2">
      <c r="A24" s="18"/>
      <c r="B24" s="9"/>
      <c r="C24" s="9"/>
      <c r="D24" s="9"/>
      <c r="E24" s="1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x14ac:dyDescent="0.2">
      <c r="A25" s="18"/>
      <c r="B25" s="9"/>
      <c r="C25" s="9"/>
      <c r="D25" s="9"/>
      <c r="E25" s="1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x14ac:dyDescent="0.2">
      <c r="A26" s="18"/>
      <c r="B26" s="9"/>
      <c r="C26" s="9"/>
      <c r="D26" s="9"/>
      <c r="E26" s="20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x14ac:dyDescent="0.2">
      <c r="A27" s="18"/>
      <c r="B27" s="9"/>
      <c r="C27" s="9"/>
      <c r="D27" s="9"/>
      <c r="E27" s="20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x14ac:dyDescent="0.2">
      <c r="A28" s="1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x14ac:dyDescent="0.2">
      <c r="A29" s="1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x14ac:dyDescent="0.2">
      <c r="A30" s="1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x14ac:dyDescent="0.2">
      <c r="A31" s="1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x14ac:dyDescent="0.2">
      <c r="A32" s="1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x14ac:dyDescent="0.2">
      <c r="A33" s="1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x14ac:dyDescent="0.2">
      <c r="A34" s="1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x14ac:dyDescent="0.2">
      <c r="A35" s="1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x14ac:dyDescent="0.2">
      <c r="A36" s="18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x14ac:dyDescent="0.2">
      <c r="A37" s="18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x14ac:dyDescent="0.2">
      <c r="A38" s="18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x14ac:dyDescent="0.2">
      <c r="A39" s="1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x14ac:dyDescent="0.2">
      <c r="A40" s="1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x14ac:dyDescent="0.2">
      <c r="A41" s="1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x14ac:dyDescent="0.2">
      <c r="A42" s="1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x14ac:dyDescent="0.2">
      <c r="A43" s="1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x14ac:dyDescent="0.2">
      <c r="A44" s="1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x14ac:dyDescent="0.2">
      <c r="A45" s="1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x14ac:dyDescent="0.2">
      <c r="A46" s="18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x14ac:dyDescent="0.2">
      <c r="A47" s="1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x14ac:dyDescent="0.2">
      <c r="A48" s="18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x14ac:dyDescent="0.2">
      <c r="A49" s="18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x14ac:dyDescent="0.2">
      <c r="A50" s="1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x14ac:dyDescent="0.2">
      <c r="A51" s="1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x14ac:dyDescent="0.2">
      <c r="A52" s="18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x14ac:dyDescent="0.2">
      <c r="A53" s="18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x14ac:dyDescent="0.2">
      <c r="A54" s="18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x14ac:dyDescent="0.2">
      <c r="A55" s="1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x14ac:dyDescent="0.2">
      <c r="A56" s="1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x14ac:dyDescent="0.2">
      <c r="A57" s="18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x14ac:dyDescent="0.2">
      <c r="A58" s="1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x14ac:dyDescent="0.2">
      <c r="A59" s="18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x14ac:dyDescent="0.2">
      <c r="A60" s="18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x14ac:dyDescent="0.2">
      <c r="A61" s="1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x14ac:dyDescent="0.2">
      <c r="A62" s="1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x14ac:dyDescent="0.2">
      <c r="A63" s="1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x14ac:dyDescent="0.2">
      <c r="A64" s="1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x14ac:dyDescent="0.2">
      <c r="A65" s="18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x14ac:dyDescent="0.2">
      <c r="A66" s="1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x14ac:dyDescent="0.2">
      <c r="A67" s="1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x14ac:dyDescent="0.2">
      <c r="A68" s="1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x14ac:dyDescent="0.2">
      <c r="A69" s="1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x14ac:dyDescent="0.2">
      <c r="A70" s="1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x14ac:dyDescent="0.2">
      <c r="A71" s="1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x14ac:dyDescent="0.2">
      <c r="A72" s="1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x14ac:dyDescent="0.2">
      <c r="A73" s="1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x14ac:dyDescent="0.2">
      <c r="A74" s="1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x14ac:dyDescent="0.2">
      <c r="A75" s="1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x14ac:dyDescent="0.2">
      <c r="A76" s="1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x14ac:dyDescent="0.2">
      <c r="A77" s="18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x14ac:dyDescent="0.2">
      <c r="A78" s="18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x14ac:dyDescent="0.2">
      <c r="A79" s="18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x14ac:dyDescent="0.2">
      <c r="A80" s="18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x14ac:dyDescent="0.2">
      <c r="A81" s="1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x14ac:dyDescent="0.2">
      <c r="A82" s="18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x14ac:dyDescent="0.2">
      <c r="A83" s="1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x14ac:dyDescent="0.2">
      <c r="A84" s="1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x14ac:dyDescent="0.2">
      <c r="A85" s="1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x14ac:dyDescent="0.2">
      <c r="A86" s="1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x14ac:dyDescent="0.2">
      <c r="A87" s="1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x14ac:dyDescent="0.2">
      <c r="A88" s="1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x14ac:dyDescent="0.2">
      <c r="A89" s="18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x14ac:dyDescent="0.2">
      <c r="A90" s="1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x14ac:dyDescent="0.2">
      <c r="A91" s="18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x14ac:dyDescent="0.2">
      <c r="A92" s="18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x14ac:dyDescent="0.2">
      <c r="A93" s="18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x14ac:dyDescent="0.2">
      <c r="A94" s="18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x14ac:dyDescent="0.2">
      <c r="A95" s="18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x14ac:dyDescent="0.2">
      <c r="A96" s="18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x14ac:dyDescent="0.2">
      <c r="A97" s="18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x14ac:dyDescent="0.2">
      <c r="A98" s="18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x14ac:dyDescent="0.2">
      <c r="A99" s="18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x14ac:dyDescent="0.2">
      <c r="A187" s="5"/>
      <c r="B187" s="5"/>
      <c r="C187" s="5"/>
      <c r="D187" s="5"/>
      <c r="E187" s="5"/>
      <c r="F187" s="5"/>
      <c r="G187" s="5">
        <v>16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x14ac:dyDescent="0.2">
      <c r="A188" s="5"/>
      <c r="B188" s="5"/>
      <c r="C188" s="5"/>
      <c r="D188" s="5"/>
      <c r="E188" s="5"/>
      <c r="F188" s="5"/>
      <c r="G188" s="5">
        <v>28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x14ac:dyDescent="0.2">
      <c r="A189" s="5"/>
      <c r="B189" s="5"/>
      <c r="C189" s="5"/>
      <c r="D189" s="5"/>
      <c r="E189" s="5"/>
      <c r="F189" s="5"/>
      <c r="G189" s="5">
        <v>5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x14ac:dyDescent="0.2">
      <c r="A191" s="5"/>
      <c r="B191" s="5"/>
      <c r="C191" s="5"/>
      <c r="D191" s="5"/>
      <c r="E191" s="5"/>
      <c r="F191" s="5"/>
      <c r="G191" s="5">
        <v>4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x14ac:dyDescent="0.2">
      <c r="A193" s="5"/>
      <c r="B193" s="5"/>
      <c r="C193" s="5"/>
      <c r="D193" s="5"/>
      <c r="E193" s="5"/>
      <c r="F193" s="5"/>
      <c r="G193" s="5">
        <v>4</v>
      </c>
      <c r="H193" s="5">
        <v>14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spans="1:30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spans="1:30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spans="1:30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spans="1:30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spans="1:30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spans="1:30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spans="1:30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1:30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spans="1:30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spans="1:30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spans="1:30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spans="1:30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spans="1:30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0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spans="1:30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spans="1:30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spans="1:30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spans="1:30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spans="1:30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spans="1:30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spans="1:30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spans="1:30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spans="1:30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spans="1:30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spans="1:30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spans="1:30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spans="1:30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1:30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spans="1:30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spans="1:30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spans="1:30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spans="1:30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spans="1:30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spans="1:30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spans="1:30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spans="1:30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spans="1:30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spans="1:30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spans="1:30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spans="1:30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spans="1:30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spans="1:30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spans="1:30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spans="1:30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1:30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1:30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spans="1:30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spans="1:30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spans="1:30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spans="1:30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spans="1:30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spans="1:30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spans="1:30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spans="1:30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0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0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0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spans="1:30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spans="1:30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spans="1:30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spans="1:30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spans="1:30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spans="1:30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spans="1:30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spans="1:30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30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30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30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spans="1:30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spans="1:30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spans="1:30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spans="1:30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spans="1:30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spans="1:30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spans="1:30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spans="1:30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spans="1:30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0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0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spans="1:30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spans="1:30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spans="1:30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spans="1:30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spans="1:30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spans="1:30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spans="1:30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spans="1:30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0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spans="1:30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spans="1:30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spans="1:30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spans="1:30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spans="1:30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spans="1:30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spans="1:30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spans="1:30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spans="1:30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spans="1:30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1:30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spans="1:30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spans="1:30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spans="1:30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spans="1:30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spans="1:30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spans="1:30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spans="1:30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spans="1:30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spans="1:30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spans="1:30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spans="1:30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spans="1:30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spans="1:30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spans="1:30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spans="1:30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spans="1:30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spans="1:30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spans="1:30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spans="1:30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spans="1:30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spans="1:30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spans="1:30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spans="1:30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spans="1:30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spans="1:30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spans="1:30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spans="1:30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spans="1:30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spans="1:30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spans="1:30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spans="1:30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spans="1:30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spans="1:30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spans="1:30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spans="1:30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spans="1:30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spans="1:30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spans="1:30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spans="1:30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spans="1:30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spans="1:30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spans="1:30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spans="1:30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spans="1:30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spans="1:30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spans="1:30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spans="1:30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spans="1:30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spans="1:30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spans="1:30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spans="1:30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spans="1:30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spans="1:30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spans="1:30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spans="1:30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spans="1:30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spans="1:30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spans="1:30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spans="1:30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spans="1:30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spans="1:30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spans="1:30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spans="1:30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spans="1:30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spans="1:30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spans="1:30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spans="1:30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spans="1:30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spans="1:30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spans="1:30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spans="1:30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spans="1:30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spans="1:30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spans="1:30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spans="1:30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spans="1:30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spans="1:30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spans="1:30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spans="1:30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spans="1:30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spans="1:30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spans="1:30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spans="1:30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spans="1:30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spans="1:30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spans="1:30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spans="1:30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spans="1:30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spans="1:30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spans="1:30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spans="1:30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spans="1:30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spans="1:30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spans="1:30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spans="1:30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spans="1:30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spans="1:30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spans="1:30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spans="1:30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spans="1:30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spans="1:30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spans="1:30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spans="1:30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spans="1:30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spans="1:30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spans="1:30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spans="1:30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spans="1:30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spans="1:30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spans="1:30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spans="1:30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spans="1:30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spans="1:30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0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spans="1:30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spans="1:30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spans="1:30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spans="1:30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spans="1:30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spans="1:30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spans="1:30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spans="1:30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spans="1:30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spans="1:30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spans="1:30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spans="1:30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spans="1:30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spans="1:30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spans="1:30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spans="1:30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spans="1:30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spans="1:30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spans="1:30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spans="1:30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spans="1:30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spans="1:30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spans="1:30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spans="1:30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spans="1:30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spans="1:30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spans="1:30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spans="1:30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spans="1:30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spans="1:30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spans="1:30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spans="1:30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spans="1:30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spans="1:30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spans="1:30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spans="1:30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spans="1:30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spans="1:30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spans="1:30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spans="1:30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spans="1:30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spans="1:30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spans="1:30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spans="1:30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spans="1:30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spans="1:30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spans="1:30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spans="1:30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spans="1:30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spans="1:30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spans="1:30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spans="1:30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spans="1:30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spans="1:30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spans="1:30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spans="1:30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spans="1:30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spans="1:30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spans="1:30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spans="1:30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spans="1:30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spans="1:30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spans="1:30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spans="1:30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spans="1:30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spans="1:30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spans="1:30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spans="1:30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spans="1:30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spans="1:30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spans="1:30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1:30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spans="1:30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1:30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1:30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1:30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1:30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1:30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1:30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1:30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1:30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1:30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1:30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1:30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1:30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1:30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1:30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1:30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1:30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1:30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1:30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1:30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0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1:30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1:30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1:30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spans="1:30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spans="1:30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spans="1:30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spans="1:30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spans="1:30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spans="1:30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spans="1:30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spans="1:30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spans="1:30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spans="1:30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spans="1:30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spans="1:30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spans="1:30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spans="1:30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spans="1:30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spans="1:30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spans="1:30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spans="1:30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spans="1:30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spans="1:30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spans="1:30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spans="1:30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spans="1:30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spans="1:30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spans="1:30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spans="1:30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spans="1:30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spans="1:30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spans="1:30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spans="1:30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spans="1:30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spans="1:30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spans="1:30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spans="1:30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spans="1:30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spans="1:30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spans="1:30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spans="1:30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spans="1:30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spans="1:30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spans="1:30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spans="1:30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spans="1:30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spans="1:30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spans="1:30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spans="1:30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spans="1:30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1:30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spans="1:30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spans="1:30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spans="1:30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spans="1:30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spans="1:30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spans="1:30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spans="1:30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spans="1:30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spans="1:30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spans="1:30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spans="1:30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spans="1:30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spans="1:30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spans="1:30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spans="1:30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spans="1:30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spans="1:30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spans="1:30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spans="1:30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spans="1:30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spans="1:30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spans="1:30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spans="1:30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spans="1:30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spans="1:30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spans="1:30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spans="1:30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spans="1:30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spans="1:30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spans="1:30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spans="1:30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spans="1:30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spans="1:30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spans="1:30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spans="1:30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spans="1:30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spans="1:30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spans="1:30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spans="1:30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spans="1:30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spans="1:30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spans="1:30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spans="1:30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spans="1:30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spans="1:30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spans="1:30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spans="1:30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spans="1:30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spans="1:30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spans="1:30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spans="1:30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1:30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spans="1:30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spans="1:30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spans="1:30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spans="1:30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spans="1:30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spans="1:30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spans="1:30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spans="1:30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spans="1:30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spans="1:30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spans="1:30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spans="1:30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spans="1:30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spans="1:30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spans="1:30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spans="1:30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spans="1:30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spans="1:30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spans="1:30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spans="1:30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spans="1:30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spans="1:30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spans="1:30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spans="1:30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spans="1:30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spans="1:30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spans="1:30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spans="1:30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spans="1:30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spans="1:30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spans="1:30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spans="1:30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spans="1:30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spans="1:30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spans="1:30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spans="1:30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spans="1:30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spans="1:30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spans="1:30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spans="1:30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spans="1:30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spans="1:30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spans="1:30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spans="1:30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spans="1:30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spans="1:30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spans="1:30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spans="1:30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spans="1:30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spans="1:30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spans="1:30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spans="1:30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spans="1:30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spans="1:30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spans="1:30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spans="1:30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spans="1:30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spans="1:30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spans="1:30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spans="1:30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spans="1:30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spans="1:30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spans="1:30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spans="1:30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spans="1:30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spans="1:30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spans="1:30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spans="1:30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spans="1:30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spans="1:30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spans="1:30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spans="1:30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spans="1:30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spans="1:30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spans="1:30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spans="1:30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1:30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1:30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spans="1:30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spans="1:30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spans="1:30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spans="1:30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spans="1:30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1:30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spans="1:30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spans="1:30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spans="1:30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spans="1:30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spans="1:30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spans="1:30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spans="1:30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spans="1:30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spans="1:30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spans="1:30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spans="1:30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spans="1:30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spans="1:30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spans="1:30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spans="1:30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spans="1:30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spans="1:30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spans="1:30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spans="1:30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spans="1:30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spans="1:30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spans="1:30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spans="1:30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spans="1:30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spans="1:30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spans="1:30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spans="1:30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spans="1:30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spans="1:30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spans="1:30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spans="1:30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spans="1:30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spans="1:30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spans="1:30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spans="1:30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spans="1:30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spans="1:30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spans="1:30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spans="1:30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spans="1:30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spans="1:30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spans="1:30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spans="1:30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spans="1:30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spans="1:30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spans="1:30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spans="1:30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spans="1:30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spans="1:30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spans="1:30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spans="1:30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spans="1:30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spans="1:30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spans="1:30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spans="1:30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spans="1:30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spans="1:30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spans="1:30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spans="1:30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spans="1:30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spans="1:30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spans="1:30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spans="1:30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spans="1:30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spans="1:30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spans="1:30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spans="1:30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spans="1:30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spans="1:30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spans="1:30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spans="1:30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spans="1:30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spans="1:30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spans="1:30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spans="1:30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spans="1:30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spans="1:30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spans="1:30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spans="1:30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spans="1:30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spans="1:30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spans="1:30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spans="1:30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spans="1:30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spans="1:30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spans="1:30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spans="1:30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spans="1:30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spans="1:30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spans="1:30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spans="1:30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spans="1:30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spans="1:30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spans="1:30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spans="1:30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spans="1:30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spans="1:30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spans="1:30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1:30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1:30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1:30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spans="1:30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spans="1:30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spans="1:30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spans="1:30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spans="1:30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spans="1:30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spans="1:30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spans="1:30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spans="1:30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spans="1:30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spans="1:30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spans="1:30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spans="1:30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spans="1:30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spans="1:30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spans="1:30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spans="1:30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spans="1:30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spans="1:30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spans="1:30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spans="1:30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spans="1:30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spans="1:30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spans="1:30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spans="1:30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spans="1:30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spans="1:30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spans="1:30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spans="1:30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spans="1:30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spans="1:30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spans="1:30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spans="1:30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spans="1:30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spans="1:30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spans="1:30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spans="1:30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spans="1:30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spans="1:30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spans="1:30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spans="1:30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spans="1:30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spans="1:30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spans="1:30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spans="1:30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spans="1:30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spans="1:30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spans="1:30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spans="1:30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spans="1:30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spans="1:30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spans="1:30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spans="1:30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spans="1:30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spans="1:30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spans="1:30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spans="1:30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spans="1:30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spans="1:30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spans="1:30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spans="1:30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spans="1:30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spans="1:30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spans="1:30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spans="1:30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spans="1:30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spans="1:30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spans="1:30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spans="1:30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spans="1:30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spans="1:30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spans="1:30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spans="1:30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spans="1:30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spans="1:30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spans="1:30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spans="1:30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spans="1:30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spans="1:30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spans="1:30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spans="1:30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spans="1:30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spans="1:30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spans="1:30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spans="1:30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spans="1:30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spans="1:30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spans="1:30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spans="1:30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spans="1:30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spans="1:30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spans="1:30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B2:V48"/>
  <sheetViews>
    <sheetView topLeftCell="A22" workbookViewId="0">
      <selection activeCell="O7" sqref="O7"/>
    </sheetView>
  </sheetViews>
  <sheetFormatPr defaultColWidth="12.5703125" defaultRowHeight="15.75" customHeight="1" x14ac:dyDescent="0.2"/>
  <cols>
    <col min="1" max="1" width="3.28515625" customWidth="1"/>
    <col min="2" max="2" width="10.7109375" customWidth="1"/>
    <col min="3" max="3" width="26.42578125" customWidth="1"/>
    <col min="4" max="4" width="7.5703125" customWidth="1"/>
    <col min="5" max="5" width="3.28515625" customWidth="1"/>
    <col min="6" max="6" width="7.5703125" customWidth="1"/>
    <col min="7" max="8" width="26.42578125" customWidth="1"/>
    <col min="9" max="9" width="12" customWidth="1"/>
    <col min="10" max="10" width="8.28515625" customWidth="1"/>
    <col min="12" max="12" width="3.28515625" customWidth="1"/>
    <col min="13" max="13" width="13.28515625" customWidth="1"/>
    <col min="14" max="14" width="8.85546875" customWidth="1"/>
    <col min="15" max="15" width="25.140625" customWidth="1"/>
    <col min="16" max="16" width="7.5703125" customWidth="1"/>
    <col min="17" max="17" width="3.28515625" customWidth="1"/>
    <col min="18" max="18" width="7.5703125" customWidth="1"/>
    <col min="19" max="20" width="25.140625" customWidth="1"/>
    <col min="21" max="21" width="12" customWidth="1"/>
    <col min="22" max="22" width="20.140625" customWidth="1"/>
  </cols>
  <sheetData>
    <row r="2" spans="2:22" ht="30" customHeight="1" x14ac:dyDescent="0.2">
      <c r="B2" s="85" t="s">
        <v>24</v>
      </c>
      <c r="C2" s="67"/>
      <c r="D2" s="67"/>
      <c r="E2" s="67"/>
      <c r="F2" s="67"/>
      <c r="G2" s="67"/>
      <c r="H2" s="67"/>
      <c r="I2" s="67"/>
      <c r="J2" s="67"/>
      <c r="M2" s="21"/>
      <c r="N2" s="21"/>
      <c r="O2" s="21"/>
      <c r="P2" s="21"/>
      <c r="Q2" s="21"/>
      <c r="R2" s="21"/>
      <c r="S2" s="21"/>
      <c r="T2" s="21"/>
      <c r="U2" s="21"/>
      <c r="V2" s="21"/>
    </row>
    <row r="3" spans="2:22" ht="12.75" x14ac:dyDescent="0.2">
      <c r="B3" s="21"/>
      <c r="C3" s="21"/>
      <c r="D3" s="21"/>
      <c r="E3" s="21"/>
      <c r="F3" s="21"/>
      <c r="G3" s="21"/>
      <c r="H3" s="21"/>
      <c r="I3" s="21"/>
      <c r="J3" s="21"/>
      <c r="M3" s="21"/>
      <c r="N3" s="21"/>
      <c r="O3" s="21"/>
      <c r="P3" s="21"/>
      <c r="Q3" s="21"/>
      <c r="R3" s="21"/>
      <c r="S3" s="21"/>
      <c r="T3" s="21"/>
      <c r="U3" s="21"/>
      <c r="V3" s="21"/>
    </row>
    <row r="4" spans="2:22" ht="12.75" x14ac:dyDescent="0.2">
      <c r="B4" s="80" t="s">
        <v>25</v>
      </c>
      <c r="C4" s="76"/>
      <c r="D4" s="76"/>
      <c r="E4" s="76"/>
      <c r="F4" s="76"/>
      <c r="G4" s="76"/>
      <c r="H4" s="76"/>
      <c r="I4" s="76"/>
      <c r="J4" s="77"/>
      <c r="M4" s="86" t="s">
        <v>26</v>
      </c>
      <c r="N4" s="76"/>
      <c r="O4" s="76"/>
      <c r="P4" s="76"/>
      <c r="Q4" s="76"/>
      <c r="R4" s="76"/>
      <c r="S4" s="76"/>
      <c r="T4" s="76"/>
      <c r="U4" s="76"/>
      <c r="V4" s="77"/>
    </row>
    <row r="5" spans="2:22" ht="25.5" x14ac:dyDescent="0.2">
      <c r="B5" s="22" t="s">
        <v>27</v>
      </c>
      <c r="C5" s="22" t="s">
        <v>28</v>
      </c>
      <c r="D5" s="22" t="s">
        <v>29</v>
      </c>
      <c r="E5" s="22" t="s">
        <v>30</v>
      </c>
      <c r="F5" s="22" t="s">
        <v>31</v>
      </c>
      <c r="G5" s="22" t="s">
        <v>32</v>
      </c>
      <c r="H5" s="22" t="s">
        <v>33</v>
      </c>
      <c r="I5" s="22" t="s">
        <v>34</v>
      </c>
      <c r="J5" s="22" t="s">
        <v>35</v>
      </c>
      <c r="M5" s="22" t="s">
        <v>36</v>
      </c>
      <c r="N5" s="22" t="s">
        <v>37</v>
      </c>
      <c r="O5" s="22" t="s">
        <v>38</v>
      </c>
      <c r="P5" s="23" t="s">
        <v>39</v>
      </c>
      <c r="Q5" s="23" t="s">
        <v>40</v>
      </c>
      <c r="R5" s="23" t="s">
        <v>41</v>
      </c>
      <c r="S5" s="22" t="s">
        <v>42</v>
      </c>
      <c r="T5" s="22" t="s">
        <v>43</v>
      </c>
      <c r="U5" s="22" t="s">
        <v>44</v>
      </c>
      <c r="V5" s="22" t="s">
        <v>45</v>
      </c>
    </row>
    <row r="6" spans="2:22" ht="51" x14ac:dyDescent="0.2">
      <c r="B6" s="24">
        <v>1</v>
      </c>
      <c r="C6" s="25" t="str">
        <f>"Команда 1 (" &amp; 'Группа 1'!E2 &amp; " / " &amp; 'Группа 1'!E3 &amp; ")"</f>
        <v>Команда 1 (Рябошапко Арсен / Олейник Юрій Валерійович)</v>
      </c>
      <c r="D6" s="24">
        <f t="shared" ref="D6:D9" si="0">COUNTIFS($C$23:$C$28, C6, $I$23:$I$28, "Завершено") + COUNTIFS($G$23:$G$28, C6, $I$23:$I$28, "Завершено")</f>
        <v>3</v>
      </c>
      <c r="E6" s="24">
        <f t="shared" ref="E6:E9" si="1">COUNTIF($H$23:$H$28, C6)</f>
        <v>3</v>
      </c>
      <c r="F6" s="24">
        <f t="shared" ref="F6:F9" si="2">D6 - E6</f>
        <v>0</v>
      </c>
      <c r="G6" s="24">
        <f t="shared" ref="G6:G9" si="3">SUMIF($C$23:$C$28, C6, $D$23:$D$28) + SUMIF($G$23:$G$28, C6, $F$23:$F$28)</f>
        <v>33</v>
      </c>
      <c r="H6" s="24">
        <f t="shared" ref="H6:H9" si="4">SUMIF($C$23:$C$28, C6, $F$23:$F$28) + SUMIF($G$23:$G$28, C6, $D$23:$D$28)</f>
        <v>7</v>
      </c>
      <c r="I6" s="26">
        <f t="shared" ref="I6:I9" si="5">G6 - H6</f>
        <v>26</v>
      </c>
      <c r="J6" s="24">
        <f t="shared" ref="J6:J9" si="6">IF(SUM($D$6:$D$9)=0, "—", 1 + COUNTIFS($E$6:$E$9, "&gt;"&amp;E6) + COUNTIFS($E$6:$E$9, E6, $I$6:$I$9, "&gt;"&amp;I6) + COUNTIFS($E$6:$E$9, E6, $I$6:$I$9, I6, $G$6:$G$9, "&gt;"&amp;G6))</f>
        <v>1</v>
      </c>
      <c r="M6" s="24" t="s">
        <v>46</v>
      </c>
      <c r="N6" s="24" t="s">
        <v>47</v>
      </c>
      <c r="O6" s="25" t="str">
        <f t="array" ref="O6">IFERROR(INDEX($C$6:$C$9, MATCH(1, $J$6:$J$9, 0)), "1-ше місце Групи 1")</f>
        <v>Команда 1 (Рябошапко Арсен / Олейник Юрій Валерійович)</v>
      </c>
      <c r="P6" s="27">
        <v>8</v>
      </c>
      <c r="Q6" s="24" t="s">
        <v>40</v>
      </c>
      <c r="R6" s="27">
        <v>11</v>
      </c>
      <c r="S6" s="25" t="str">
        <f t="array" ref="S6">IFERROR(INDEX($C$14:$C$17, MATCH(2, $J$14:$J$17, 0)), "2-ге місце Групи 2")</f>
        <v>Команда 5 (Бичков Олег Володимирович / Пархоменко Максим Миколайович)</v>
      </c>
      <c r="T6" s="24" t="str">
        <f t="shared" ref="T6:T7" si="7">IF(AND(ISNUMBER(P6),ISNUMBER(R6)),IF(P6&gt;R6,O6,IF(R6&gt;P6,S6,"Нічия")),"—")</f>
        <v>Команда 5 (Бичков Олег Володимирович / Пархоменко Максим Миколайович)</v>
      </c>
      <c r="U6" s="24" t="str">
        <f t="shared" ref="U6:U7" si="8">IF(AND(ISNUMBER(P6),ISNUMBER(R6)),"Завершено","Очікується")</f>
        <v>Завершено</v>
      </c>
      <c r="V6" s="24" t="s">
        <v>48</v>
      </c>
    </row>
    <row r="7" spans="2:22" ht="51" x14ac:dyDescent="0.2">
      <c r="B7" s="24">
        <v>2</v>
      </c>
      <c r="C7" s="25" t="str">
        <f>"Команда 3 (" &amp; 'Группа 1'!E4 &amp; " / " &amp; 'Группа 1'!E5 &amp; ")"</f>
        <v>Команда 3 (Кутовой Антон / Куліков Євген Олександрович)</v>
      </c>
      <c r="D7" s="24">
        <f t="shared" si="0"/>
        <v>3</v>
      </c>
      <c r="E7" s="24">
        <f t="shared" si="1"/>
        <v>2</v>
      </c>
      <c r="F7" s="24">
        <f t="shared" si="2"/>
        <v>1</v>
      </c>
      <c r="G7" s="24">
        <f t="shared" si="3"/>
        <v>24</v>
      </c>
      <c r="H7" s="24">
        <f t="shared" si="4"/>
        <v>22</v>
      </c>
      <c r="I7" s="26">
        <f t="shared" si="5"/>
        <v>2</v>
      </c>
      <c r="J7" s="24">
        <f t="shared" si="6"/>
        <v>2</v>
      </c>
      <c r="M7" s="24" t="s">
        <v>46</v>
      </c>
      <c r="N7" s="24" t="s">
        <v>49</v>
      </c>
      <c r="O7" s="25" t="str">
        <f t="array" ref="O7">IFERROR(INDEX($C$14:$C$17, MATCH(1, $J$14:$J$17, 0)), "1-ше місце Групи 2")</f>
        <v>Команда 6 (Довгань Олександр / Катеринич Олександр Олександрович)</v>
      </c>
      <c r="P7" s="27">
        <v>11</v>
      </c>
      <c r="Q7" s="24" t="s">
        <v>40</v>
      </c>
      <c r="R7" s="27">
        <v>2</v>
      </c>
      <c r="S7" s="25" t="str">
        <f t="array" ref="S7">IFERROR(INDEX($C$6:$C$9, MATCH(2, $J$6:$J$9, 0)), "2-ге місце Групи 1")</f>
        <v>Команда 3 (Кутовой Антон / Куліков Євген Олександрович)</v>
      </c>
      <c r="T7" s="24" t="str">
        <f t="shared" si="7"/>
        <v>Команда 6 (Довгань Олександр / Катеринич Олександр Олександрович)</v>
      </c>
      <c r="U7" s="24" t="str">
        <f t="shared" si="8"/>
        <v>Завершено</v>
      </c>
      <c r="V7" s="24" t="s">
        <v>48</v>
      </c>
    </row>
    <row r="8" spans="2:22" ht="51" x14ac:dyDescent="0.2">
      <c r="B8" s="24">
        <v>3</v>
      </c>
      <c r="C8" s="25" t="str">
        <f>"Команда 4 (" &amp; 'Группа 1'!E6 &amp; " / " &amp; 'Группа 1'!E7 &amp; ")"</f>
        <v>Команда 4 (Барбінягра Олександр Іванович / Лапшинський Олександр Анатолійович)</v>
      </c>
      <c r="D8" s="24">
        <f t="shared" si="0"/>
        <v>3</v>
      </c>
      <c r="E8" s="24">
        <f t="shared" si="1"/>
        <v>1</v>
      </c>
      <c r="F8" s="24">
        <f t="shared" si="2"/>
        <v>2</v>
      </c>
      <c r="G8" s="24">
        <f t="shared" si="3"/>
        <v>23</v>
      </c>
      <c r="H8" s="24">
        <f t="shared" si="4"/>
        <v>24</v>
      </c>
      <c r="I8" s="26">
        <f t="shared" si="5"/>
        <v>-1</v>
      </c>
      <c r="J8" s="24">
        <f t="shared" si="6"/>
        <v>3</v>
      </c>
      <c r="M8" s="24"/>
      <c r="N8" s="24"/>
      <c r="O8" s="25"/>
      <c r="P8" s="25"/>
      <c r="Q8" s="24"/>
      <c r="R8" s="25"/>
      <c r="S8" s="25"/>
      <c r="T8" s="24"/>
      <c r="U8" s="24"/>
      <c r="V8" s="24"/>
    </row>
    <row r="9" spans="2:22" ht="51" x14ac:dyDescent="0.2">
      <c r="B9" s="24">
        <v>4</v>
      </c>
      <c r="C9" s="25" t="str">
        <f>"Команда 7 (" &amp; 'Группа 1'!E8 &amp; " / " &amp; 'Группа 1'!E9 &amp; ")"</f>
        <v>Команда 7 (Лещенко Валентин Валерійович / Москалюк Вадим Васильович)</v>
      </c>
      <c r="D9" s="24">
        <f t="shared" si="0"/>
        <v>3</v>
      </c>
      <c r="E9" s="24">
        <f t="shared" si="1"/>
        <v>0</v>
      </c>
      <c r="F9" s="24">
        <f t="shared" si="2"/>
        <v>3</v>
      </c>
      <c r="G9" s="24">
        <f t="shared" si="3"/>
        <v>6</v>
      </c>
      <c r="H9" s="24">
        <f t="shared" si="4"/>
        <v>33</v>
      </c>
      <c r="I9" s="26">
        <f t="shared" si="5"/>
        <v>-27</v>
      </c>
      <c r="J9" s="24">
        <f t="shared" si="6"/>
        <v>4</v>
      </c>
      <c r="M9" s="24" t="s">
        <v>50</v>
      </c>
      <c r="N9" s="24" t="s">
        <v>51</v>
      </c>
      <c r="O9" s="25" t="str">
        <f>IF(AND(ISNUMBER(P6),ISNUMBER(R6)),IF(P6&lt;R6,O6,S6),"Програвший ПФ 1")</f>
        <v>Команда 1 (Рябошапко Арсен / Олейник Юрій Валерійович)</v>
      </c>
      <c r="P9" s="27">
        <v>11</v>
      </c>
      <c r="Q9" s="24" t="s">
        <v>40</v>
      </c>
      <c r="R9" s="27">
        <v>2</v>
      </c>
      <c r="S9" s="25" t="str">
        <f>IF(AND(ISNUMBER(P7),ISNUMBER(R7)),IF(P7&lt;R7,O7,S7),"Програвший ПФ 2")</f>
        <v>Команда 3 (Кутовой Антон / Куліков Євген Олександрович)</v>
      </c>
      <c r="T9" s="24" t="str">
        <f>IF(AND(ISNUMBER(P9),ISNUMBER(R9)),IF(P9&gt;R9,O9,IF(R9&gt;P9,S9,"Нічия")),"—")</f>
        <v>Команда 1 (Рябошапко Арсен / Олейник Юрій Валерійович)</v>
      </c>
      <c r="U9" s="24" t="str">
        <f>IF(AND(ISNUMBER(P9),ISNUMBER(R9)),"Завершено","Очікується")</f>
        <v>Завершено</v>
      </c>
      <c r="V9" s="24" t="s">
        <v>52</v>
      </c>
    </row>
    <row r="10" spans="2:22" ht="12.75" x14ac:dyDescent="0.2">
      <c r="B10" s="21"/>
      <c r="C10" s="21"/>
      <c r="D10" s="21"/>
      <c r="E10" s="21"/>
      <c r="F10" s="21"/>
      <c r="G10" s="21"/>
      <c r="H10" s="21"/>
      <c r="I10" s="21"/>
      <c r="J10" s="21"/>
      <c r="M10" s="24"/>
      <c r="N10" s="24"/>
      <c r="O10" s="25"/>
      <c r="P10" s="25"/>
      <c r="Q10" s="24"/>
      <c r="R10" s="25"/>
      <c r="S10" s="25"/>
      <c r="T10" s="24"/>
      <c r="U10" s="24"/>
      <c r="V10" s="24"/>
    </row>
    <row r="11" spans="2:22" ht="51" x14ac:dyDescent="0.2">
      <c r="B11" s="21"/>
      <c r="C11" s="21"/>
      <c r="D11" s="21"/>
      <c r="E11" s="21"/>
      <c r="F11" s="21"/>
      <c r="G11" s="21"/>
      <c r="H11" s="21"/>
      <c r="I11" s="21"/>
      <c r="J11" s="21"/>
      <c r="M11" s="24" t="s">
        <v>53</v>
      </c>
      <c r="N11" s="24" t="s">
        <v>54</v>
      </c>
      <c r="O11" s="25" t="str">
        <f>IF(T6="—","Переможець ПФ 1",T6)</f>
        <v>Команда 5 (Бичков Олег Володимирович / Пархоменко Максим Миколайович)</v>
      </c>
      <c r="P11" s="27">
        <v>7</v>
      </c>
      <c r="Q11" s="24" t="s">
        <v>40</v>
      </c>
      <c r="R11" s="27">
        <v>11</v>
      </c>
      <c r="S11" s="25" t="str">
        <f>IF(T7="—","Переможець ПФ 2",T7)</f>
        <v>Команда 6 (Довгань Олександр / Катеринич Олександр Олександрович)</v>
      </c>
      <c r="T11" s="24" t="str">
        <f>IF(AND(ISNUMBER(P11),ISNUMBER(R11)),IF(P11&gt;R11,O11,IF(R11&gt;P11,S11,"Нічия")),"—")</f>
        <v>Команда 6 (Довгань Олександр / Катеринич Олександр Олександрович)</v>
      </c>
      <c r="U11" s="24" t="str">
        <f>IF(AND(ISNUMBER(P11),ISNUMBER(R11)),"Завершено","Очікується")</f>
        <v>Завершено</v>
      </c>
      <c r="V11" s="24" t="s">
        <v>55</v>
      </c>
    </row>
    <row r="12" spans="2:22" ht="12.75" x14ac:dyDescent="0.2">
      <c r="B12" s="80" t="s">
        <v>56</v>
      </c>
      <c r="C12" s="76"/>
      <c r="D12" s="76"/>
      <c r="E12" s="76"/>
      <c r="F12" s="76"/>
      <c r="G12" s="76"/>
      <c r="H12" s="76"/>
      <c r="I12" s="76"/>
      <c r="J12" s="77"/>
      <c r="M12" s="24"/>
      <c r="N12" s="24"/>
      <c r="O12" s="25"/>
      <c r="P12" s="25"/>
      <c r="Q12" s="24"/>
      <c r="R12" s="25"/>
      <c r="S12" s="25"/>
      <c r="T12" s="24"/>
      <c r="U12" s="24"/>
      <c r="V12" s="24"/>
    </row>
    <row r="13" spans="2:22" ht="12.75" x14ac:dyDescent="0.2">
      <c r="B13" s="22" t="s">
        <v>27</v>
      </c>
      <c r="C13" s="22" t="s">
        <v>28</v>
      </c>
      <c r="D13" s="22" t="s">
        <v>29</v>
      </c>
      <c r="E13" s="22" t="s">
        <v>30</v>
      </c>
      <c r="F13" s="22" t="s">
        <v>31</v>
      </c>
      <c r="G13" s="22" t="s">
        <v>32</v>
      </c>
      <c r="H13" s="22" t="s">
        <v>33</v>
      </c>
      <c r="I13" s="22" t="s">
        <v>34</v>
      </c>
      <c r="J13" s="22" t="s">
        <v>35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</row>
    <row r="14" spans="2:22" ht="38.25" x14ac:dyDescent="0.2">
      <c r="B14" s="24">
        <v>1</v>
      </c>
      <c r="C14" s="25" t="str">
        <f>"Команда 2 (" &amp; 'Группа 1'!E10 &amp; " / " &amp; 'Группа 1'!E11 &amp; ")"</f>
        <v>Команда 2 (Кухаренко Олександр / Васильєв Олексій Михайлович)</v>
      </c>
      <c r="D14" s="24">
        <f t="shared" ref="D14:D17" si="9">COUNTIFS($C$32:$C$37, C14, $I$32:$I$37, "Завершено") + COUNTIFS($G$32:$G$37, C14, $I$32:$I$37, "Завершено")</f>
        <v>3</v>
      </c>
      <c r="E14" s="24">
        <f t="shared" ref="E14:E17" si="10">COUNTIF($H$32:$H$37, C14)</f>
        <v>0</v>
      </c>
      <c r="F14" s="24">
        <f t="shared" ref="F14:F17" si="11">D14 - E14</f>
        <v>3</v>
      </c>
      <c r="G14" s="24">
        <f t="shared" ref="G14:G17" si="12">SUMIF($C$32:$C$37, C14, $D$32:$D$37) + SUMIF($G$32:$G$37, C14, $F$32:$F$37)</f>
        <v>9</v>
      </c>
      <c r="H14" s="24">
        <f t="shared" ref="H14:H17" si="13">SUMIF($C$32:$C$37, C14, $F$32:$F$37) + SUMIF($G$32:$G$37, C14, $D$32:$D$37)</f>
        <v>33</v>
      </c>
      <c r="I14" s="26">
        <f t="shared" ref="I14:I17" si="14">G14 - H14</f>
        <v>-24</v>
      </c>
      <c r="J14" s="24">
        <f t="shared" ref="J14:J17" si="15">IF(SUM($D$14:$D$17)=0, "—", 1 + COUNTIFS($E$14:$E$17, "&gt;"&amp;E14) + COUNTIFS($E$14:$E$17, E14, $I$14:$I$17, "&gt;"&amp;I14) + COUNTIFS($E$14:$E$17, E14, $I$14:$I$17, I14, $G$14:$G$17, "&gt;"&amp;G14))</f>
        <v>4</v>
      </c>
      <c r="M14" s="87" t="s">
        <v>57</v>
      </c>
      <c r="N14" s="67"/>
      <c r="O14" s="67"/>
      <c r="P14" s="67"/>
      <c r="Q14" s="67"/>
      <c r="R14" s="67"/>
      <c r="S14" s="67"/>
      <c r="T14" s="67"/>
      <c r="U14" s="67"/>
      <c r="V14" s="67"/>
    </row>
    <row r="15" spans="2:22" ht="51" x14ac:dyDescent="0.2">
      <c r="B15" s="24">
        <v>2</v>
      </c>
      <c r="C15" s="25" t="str">
        <f>"Команда 5 (" &amp; 'Группа 1'!E12 &amp; " / " &amp; 'Группа 1'!E13 &amp; ")"</f>
        <v>Команда 5 (Бичков Олег Володимирович / Пархоменко Максим Миколайович)</v>
      </c>
      <c r="D15" s="24">
        <f t="shared" si="9"/>
        <v>3</v>
      </c>
      <c r="E15" s="24">
        <f t="shared" si="10"/>
        <v>2</v>
      </c>
      <c r="F15" s="24">
        <f t="shared" si="11"/>
        <v>1</v>
      </c>
      <c r="G15" s="24">
        <f t="shared" si="12"/>
        <v>26</v>
      </c>
      <c r="H15" s="24">
        <f t="shared" si="13"/>
        <v>19</v>
      </c>
      <c r="I15" s="26">
        <f t="shared" si="14"/>
        <v>7</v>
      </c>
      <c r="J15" s="24">
        <f t="shared" si="15"/>
        <v>2</v>
      </c>
      <c r="M15" s="78" t="s">
        <v>58</v>
      </c>
      <c r="N15" s="67"/>
      <c r="O15" s="67"/>
      <c r="P15" s="67"/>
      <c r="Q15" s="67"/>
      <c r="R15" s="67"/>
      <c r="S15" s="67"/>
      <c r="T15" s="67"/>
      <c r="U15" s="67"/>
      <c r="V15" s="67"/>
    </row>
    <row r="16" spans="2:22" ht="38.25" x14ac:dyDescent="0.2">
      <c r="B16" s="24">
        <v>3</v>
      </c>
      <c r="C16" s="25" t="str">
        <f>"Команда 6 (" &amp; 'Группа 1'!E14 &amp; " / " &amp; 'Группа 1'!E15 &amp; ")"</f>
        <v>Команда 6 (Довгань Олександр / Катеринич Олександр Олександрович)</v>
      </c>
      <c r="D16" s="24">
        <f t="shared" si="9"/>
        <v>3</v>
      </c>
      <c r="E16" s="24">
        <f t="shared" si="10"/>
        <v>2</v>
      </c>
      <c r="F16" s="24">
        <f t="shared" si="11"/>
        <v>1</v>
      </c>
      <c r="G16" s="24">
        <f t="shared" si="12"/>
        <v>30</v>
      </c>
      <c r="H16" s="24">
        <f t="shared" si="13"/>
        <v>19</v>
      </c>
      <c r="I16" s="26">
        <f t="shared" si="14"/>
        <v>11</v>
      </c>
      <c r="J16" s="24">
        <f t="shared" si="15"/>
        <v>1</v>
      </c>
      <c r="M16" s="78" t="s">
        <v>59</v>
      </c>
      <c r="N16" s="67"/>
      <c r="O16" s="67"/>
      <c r="P16" s="67"/>
      <c r="Q16" s="67"/>
      <c r="R16" s="67"/>
      <c r="S16" s="67"/>
      <c r="T16" s="67"/>
      <c r="U16" s="67"/>
      <c r="V16" s="67"/>
    </row>
    <row r="17" spans="2:22" ht="38.25" x14ac:dyDescent="0.2">
      <c r="B17" s="24">
        <v>4</v>
      </c>
      <c r="C17" s="25" t="str">
        <f>"Команда 8 (" &amp; 'Группа 1'!E16 &amp; " / " &amp; 'Группа 1'!E17 &amp; ")"</f>
        <v>Команда 8 (Зімін Михайло Володимирович / Папуров Григорій Георгійович)</v>
      </c>
      <c r="D17" s="24">
        <f t="shared" si="9"/>
        <v>3</v>
      </c>
      <c r="E17" s="24">
        <f t="shared" si="10"/>
        <v>2</v>
      </c>
      <c r="F17" s="24">
        <f t="shared" si="11"/>
        <v>1</v>
      </c>
      <c r="G17" s="24">
        <f t="shared" si="12"/>
        <v>27</v>
      </c>
      <c r="H17" s="24">
        <f t="shared" si="13"/>
        <v>21</v>
      </c>
      <c r="I17" s="26">
        <f t="shared" si="14"/>
        <v>6</v>
      </c>
      <c r="J17" s="24">
        <f t="shared" si="15"/>
        <v>3</v>
      </c>
      <c r="M17" s="78" t="s">
        <v>60</v>
      </c>
      <c r="N17" s="67"/>
      <c r="O17" s="67"/>
      <c r="P17" s="67"/>
      <c r="Q17" s="67"/>
      <c r="R17" s="67"/>
      <c r="S17" s="67"/>
      <c r="T17" s="67"/>
      <c r="U17" s="67"/>
      <c r="V17" s="67"/>
    </row>
    <row r="18" spans="2:22" ht="12.75" x14ac:dyDescent="0.2">
      <c r="B18" s="79" t="s">
        <v>61</v>
      </c>
      <c r="C18" s="67"/>
      <c r="D18" s="67"/>
      <c r="E18" s="67"/>
      <c r="F18" s="67"/>
      <c r="G18" s="67"/>
      <c r="H18" s="67"/>
      <c r="I18" s="67"/>
      <c r="J18" s="67"/>
      <c r="M18" s="78" t="s">
        <v>62</v>
      </c>
      <c r="N18" s="67"/>
      <c r="O18" s="67"/>
      <c r="P18" s="67"/>
      <c r="Q18" s="67"/>
      <c r="R18" s="67"/>
      <c r="S18" s="67"/>
      <c r="T18" s="67"/>
      <c r="U18" s="67"/>
      <c r="V18" s="67"/>
    </row>
    <row r="19" spans="2:22" ht="12.75" x14ac:dyDescent="0.2">
      <c r="B19" s="21"/>
      <c r="C19" s="21"/>
      <c r="D19" s="21"/>
      <c r="E19" s="21"/>
      <c r="F19" s="21"/>
      <c r="G19" s="21"/>
      <c r="H19" s="21"/>
      <c r="I19" s="21"/>
      <c r="J19" s="21"/>
      <c r="M19" s="78" t="s">
        <v>63</v>
      </c>
      <c r="N19" s="67"/>
      <c r="O19" s="67"/>
      <c r="P19" s="67"/>
      <c r="Q19" s="67"/>
      <c r="R19" s="67"/>
      <c r="S19" s="67"/>
      <c r="T19" s="67"/>
      <c r="U19" s="67"/>
      <c r="V19" s="67"/>
    </row>
    <row r="20" spans="2:22" ht="12.75" x14ac:dyDescent="0.2">
      <c r="B20" s="21"/>
      <c r="C20" s="21"/>
      <c r="D20" s="21"/>
      <c r="E20" s="21"/>
      <c r="F20" s="21"/>
      <c r="G20" s="21"/>
      <c r="H20" s="21"/>
      <c r="I20" s="21"/>
      <c r="J20" s="21"/>
      <c r="M20" s="21"/>
      <c r="N20" s="21"/>
      <c r="O20" s="21"/>
      <c r="P20" s="21"/>
      <c r="Q20" s="21"/>
      <c r="R20" s="21"/>
      <c r="S20" s="21"/>
      <c r="T20" s="21"/>
      <c r="U20" s="21"/>
      <c r="V20" s="21"/>
    </row>
    <row r="21" spans="2:22" ht="12.75" x14ac:dyDescent="0.2">
      <c r="B21" s="80" t="s">
        <v>64</v>
      </c>
      <c r="C21" s="76"/>
      <c r="D21" s="76"/>
      <c r="E21" s="76"/>
      <c r="F21" s="76"/>
      <c r="G21" s="76"/>
      <c r="H21" s="76"/>
      <c r="I21" s="76"/>
      <c r="J21" s="77"/>
      <c r="K21" s="28"/>
      <c r="M21" s="21"/>
      <c r="N21" s="21"/>
      <c r="O21" s="21"/>
      <c r="P21" s="21"/>
      <c r="Q21" s="21"/>
      <c r="R21" s="21"/>
      <c r="S21" s="21"/>
      <c r="T21" s="21"/>
      <c r="U21" s="21"/>
      <c r="V21" s="21"/>
    </row>
    <row r="22" spans="2:22" ht="25.5" x14ac:dyDescent="0.2">
      <c r="B22" s="22" t="s">
        <v>37</v>
      </c>
      <c r="C22" s="22" t="s">
        <v>38</v>
      </c>
      <c r="D22" s="23" t="s">
        <v>39</v>
      </c>
      <c r="E22" s="23" t="s">
        <v>40</v>
      </c>
      <c r="F22" s="23" t="s">
        <v>41</v>
      </c>
      <c r="G22" s="22" t="s">
        <v>42</v>
      </c>
      <c r="H22" s="22" t="s">
        <v>43</v>
      </c>
      <c r="I22" s="22" t="s">
        <v>44</v>
      </c>
      <c r="J22" s="22" t="s">
        <v>65</v>
      </c>
      <c r="M22" s="21"/>
      <c r="N22" s="21"/>
      <c r="O22" s="21"/>
      <c r="P22" s="21"/>
      <c r="Q22" s="21"/>
      <c r="R22" s="21"/>
      <c r="S22" s="21"/>
      <c r="T22" s="21"/>
      <c r="U22" s="21"/>
      <c r="V22" s="21"/>
    </row>
    <row r="23" spans="2:22" ht="36.75" customHeight="1" x14ac:dyDescent="0.2">
      <c r="B23" s="24" t="s">
        <v>66</v>
      </c>
      <c r="C23" s="25" t="str">
        <f>C6</f>
        <v>Команда 1 (Рябошапко Арсен / Олейник Юрій Валерійович)</v>
      </c>
      <c r="D23" s="29">
        <v>11</v>
      </c>
      <c r="E23" s="24" t="s">
        <v>40</v>
      </c>
      <c r="F23" s="27">
        <v>2</v>
      </c>
      <c r="G23" s="25" t="str">
        <f>C7</f>
        <v>Команда 3 (Кутовой Антон / Куліков Євген Олександрович)</v>
      </c>
      <c r="H23" s="24" t="str">
        <f t="shared" ref="H23:H28" si="16">IF(OR(ISBLANK(D23),ISBLANK(F23)),"—",IF(D23&gt;F23,C23,IF(F23&gt;D23,G23,"Нічия")))</f>
        <v>Команда 1 (Рябошапко Арсен / Олейник Юрій Валерійович)</v>
      </c>
      <c r="I23" s="24" t="str">
        <f t="shared" ref="I23:I28" si="17">IF(OR(ISBLANK(D23),ISBLANK(F23)),"Очікується","Завершено")</f>
        <v>Завершено</v>
      </c>
      <c r="J23" s="30">
        <f t="shared" ref="J23:J28" si="18">IF(OR(ISBLANK(D23),ISBLANK(F23)),"—",ABS(D23-F23))</f>
        <v>9</v>
      </c>
      <c r="M23" s="21"/>
      <c r="N23" s="21"/>
      <c r="O23" s="21"/>
      <c r="P23" s="21"/>
      <c r="Q23" s="21"/>
      <c r="R23" s="21"/>
      <c r="S23" s="21"/>
      <c r="T23" s="21"/>
      <c r="U23" s="21"/>
      <c r="V23" s="21"/>
    </row>
    <row r="24" spans="2:22" ht="51" x14ac:dyDescent="0.2">
      <c r="B24" s="24" t="s">
        <v>67</v>
      </c>
      <c r="C24" s="25" t="str">
        <f>C8</f>
        <v>Команда 4 (Барбінягра Олександр Іванович / Лапшинський Олександр Анатолійович)</v>
      </c>
      <c r="D24" s="27">
        <v>11</v>
      </c>
      <c r="E24" s="24" t="s">
        <v>40</v>
      </c>
      <c r="F24" s="27">
        <v>2</v>
      </c>
      <c r="G24" s="25" t="str">
        <f>C9</f>
        <v>Команда 7 (Лещенко Валентин Валерійович / Москалюк Вадим Васильович)</v>
      </c>
      <c r="H24" s="24" t="str">
        <f t="shared" si="16"/>
        <v>Команда 4 (Барбінягра Олександр Іванович / Лапшинський Олександр Анатолійович)</v>
      </c>
      <c r="I24" s="24" t="str">
        <f t="shared" si="17"/>
        <v>Завершено</v>
      </c>
      <c r="J24" s="30">
        <f t="shared" si="18"/>
        <v>9</v>
      </c>
      <c r="M24" s="21"/>
      <c r="N24" s="21"/>
      <c r="O24" s="21"/>
      <c r="P24" s="21"/>
      <c r="Q24" s="21"/>
      <c r="R24" s="21"/>
      <c r="S24" s="21"/>
      <c r="T24" s="21"/>
      <c r="U24" s="21"/>
      <c r="V24" s="21"/>
    </row>
    <row r="25" spans="2:22" ht="51" x14ac:dyDescent="0.2">
      <c r="B25" s="24" t="s">
        <v>68</v>
      </c>
      <c r="C25" s="25" t="str">
        <f t="shared" ref="C25:C26" si="19">C6</f>
        <v>Команда 1 (Рябошапко Арсен / Олейник Юрій Валерійович)</v>
      </c>
      <c r="D25" s="29">
        <v>11</v>
      </c>
      <c r="E25" s="24" t="s">
        <v>40</v>
      </c>
      <c r="F25" s="27">
        <v>3</v>
      </c>
      <c r="G25" s="25" t="str">
        <f t="shared" ref="G25:G26" si="20">C8</f>
        <v>Команда 4 (Барбінягра Олександр Іванович / Лапшинський Олександр Анатолійович)</v>
      </c>
      <c r="H25" s="24" t="str">
        <f t="shared" si="16"/>
        <v>Команда 1 (Рябошапко Арсен / Олейник Юрій Валерійович)</v>
      </c>
      <c r="I25" s="24" t="str">
        <f t="shared" si="17"/>
        <v>Завершено</v>
      </c>
      <c r="J25" s="30">
        <f t="shared" si="18"/>
        <v>8</v>
      </c>
      <c r="M25" s="21"/>
      <c r="N25" s="21"/>
      <c r="O25" s="21"/>
      <c r="P25" s="21"/>
      <c r="Q25" s="21"/>
      <c r="R25" s="21"/>
      <c r="S25" s="21"/>
      <c r="T25" s="21"/>
      <c r="U25" s="21"/>
      <c r="V25" s="21"/>
    </row>
    <row r="26" spans="2:22" ht="51" x14ac:dyDescent="0.2">
      <c r="B26" s="24" t="s">
        <v>69</v>
      </c>
      <c r="C26" s="25" t="str">
        <f t="shared" si="19"/>
        <v>Команда 3 (Кутовой Антон / Куліков Євген Олександрович)</v>
      </c>
      <c r="D26" s="29">
        <v>11</v>
      </c>
      <c r="E26" s="24" t="s">
        <v>40</v>
      </c>
      <c r="F26" s="27">
        <v>2</v>
      </c>
      <c r="G26" s="25" t="str">
        <f t="shared" si="20"/>
        <v>Команда 7 (Лещенко Валентин Валерійович / Москалюк Вадим Васильович)</v>
      </c>
      <c r="H26" s="24" t="str">
        <f t="shared" si="16"/>
        <v>Команда 3 (Кутовой Антон / Куліков Євген Олександрович)</v>
      </c>
      <c r="I26" s="24" t="str">
        <f t="shared" si="17"/>
        <v>Завершено</v>
      </c>
      <c r="J26" s="30">
        <f t="shared" si="18"/>
        <v>9</v>
      </c>
      <c r="M26" s="21"/>
      <c r="N26" s="21"/>
      <c r="O26" s="21"/>
      <c r="P26" s="21"/>
      <c r="Q26" s="21"/>
      <c r="R26" s="21"/>
      <c r="S26" s="21"/>
      <c r="T26" s="21"/>
      <c r="U26" s="21"/>
      <c r="V26" s="21"/>
    </row>
    <row r="27" spans="2:22" ht="51" x14ac:dyDescent="0.2">
      <c r="B27" s="24" t="s">
        <v>70</v>
      </c>
      <c r="C27" s="25" t="str">
        <f t="shared" ref="C27:C28" si="21">C6</f>
        <v>Команда 1 (Рябошапко Арсен / Олейник Юрій Валерійович)</v>
      </c>
      <c r="D27" s="29">
        <v>11</v>
      </c>
      <c r="E27" s="24" t="s">
        <v>40</v>
      </c>
      <c r="F27" s="27">
        <v>2</v>
      </c>
      <c r="G27" s="25" t="str">
        <f>C9</f>
        <v>Команда 7 (Лещенко Валентин Валерійович / Москалюк Вадим Васильович)</v>
      </c>
      <c r="H27" s="24" t="str">
        <f t="shared" si="16"/>
        <v>Команда 1 (Рябошапко Арсен / Олейник Юрій Валерійович)</v>
      </c>
      <c r="I27" s="24" t="str">
        <f t="shared" si="17"/>
        <v>Завершено</v>
      </c>
      <c r="J27" s="30">
        <f t="shared" si="18"/>
        <v>9</v>
      </c>
      <c r="M27" s="21"/>
      <c r="N27" s="21"/>
      <c r="O27" s="21"/>
      <c r="P27" s="21"/>
      <c r="Q27" s="21"/>
      <c r="R27" s="21"/>
      <c r="S27" s="21"/>
      <c r="T27" s="21"/>
      <c r="U27" s="21"/>
      <c r="V27" s="21"/>
    </row>
    <row r="28" spans="2:22" ht="51" x14ac:dyDescent="0.2">
      <c r="B28" s="24" t="s">
        <v>71</v>
      </c>
      <c r="C28" s="25" t="str">
        <f t="shared" si="21"/>
        <v>Команда 3 (Кутовой Антон / Куліков Євген Олександрович)</v>
      </c>
      <c r="D28" s="29">
        <v>11</v>
      </c>
      <c r="E28" s="24" t="s">
        <v>40</v>
      </c>
      <c r="F28" s="27">
        <v>9</v>
      </c>
      <c r="G28" s="25" t="str">
        <f>C8</f>
        <v>Команда 4 (Барбінягра Олександр Іванович / Лапшинський Олександр Анатолійович)</v>
      </c>
      <c r="H28" s="24" t="str">
        <f t="shared" si="16"/>
        <v>Команда 3 (Кутовой Антон / Куліков Євген Олександрович)</v>
      </c>
      <c r="I28" s="24" t="str">
        <f t="shared" si="17"/>
        <v>Завершено</v>
      </c>
      <c r="J28" s="30">
        <f t="shared" si="18"/>
        <v>2</v>
      </c>
      <c r="M28" s="81" t="s">
        <v>72</v>
      </c>
      <c r="N28" s="76"/>
      <c r="O28" s="76"/>
      <c r="P28" s="76"/>
      <c r="Q28" s="76"/>
      <c r="R28" s="77"/>
      <c r="S28" s="21"/>
      <c r="T28" s="21"/>
      <c r="U28" s="21"/>
      <c r="V28" s="21"/>
    </row>
    <row r="29" spans="2:22" ht="25.5" x14ac:dyDescent="0.2">
      <c r="B29" s="21"/>
      <c r="C29" s="21"/>
      <c r="D29" s="21"/>
      <c r="E29" s="21"/>
      <c r="F29" s="21"/>
      <c r="G29" s="21"/>
      <c r="H29" s="21"/>
      <c r="I29" s="21"/>
      <c r="J29" s="21"/>
      <c r="M29" s="22" t="s">
        <v>35</v>
      </c>
      <c r="N29" s="22" t="s">
        <v>73</v>
      </c>
      <c r="O29" s="82" t="s">
        <v>74</v>
      </c>
      <c r="P29" s="76"/>
      <c r="Q29" s="76"/>
      <c r="R29" s="77"/>
      <c r="S29" s="21"/>
      <c r="T29" s="21"/>
      <c r="U29" s="21"/>
      <c r="V29" s="21"/>
    </row>
    <row r="30" spans="2:22" ht="25.5" x14ac:dyDescent="0.2">
      <c r="B30" s="80" t="s">
        <v>75</v>
      </c>
      <c r="C30" s="76"/>
      <c r="D30" s="76"/>
      <c r="E30" s="76"/>
      <c r="F30" s="76"/>
      <c r="G30" s="76"/>
      <c r="H30" s="76"/>
      <c r="I30" s="76"/>
      <c r="J30" s="77"/>
      <c r="K30" s="28"/>
      <c r="M30" s="31" t="s">
        <v>76</v>
      </c>
      <c r="N30" s="31" t="s">
        <v>54</v>
      </c>
      <c r="O30" s="83" t="str">
        <f>IF(T11="—","Визначається у фіналі",T11)</f>
        <v>Команда 6 (Довгань Олександр / Катеринич Олександр Олександрович)</v>
      </c>
      <c r="P30" s="76"/>
      <c r="Q30" s="76"/>
      <c r="R30" s="77"/>
      <c r="S30" s="21"/>
      <c r="T30" s="21"/>
      <c r="U30" s="21"/>
      <c r="V30" s="21"/>
    </row>
    <row r="31" spans="2:22" ht="25.5" x14ac:dyDescent="0.2">
      <c r="B31" s="22" t="s">
        <v>37</v>
      </c>
      <c r="C31" s="22" t="s">
        <v>38</v>
      </c>
      <c r="D31" s="23" t="s">
        <v>39</v>
      </c>
      <c r="E31" s="23" t="s">
        <v>40</v>
      </c>
      <c r="F31" s="23" t="s">
        <v>41</v>
      </c>
      <c r="G31" s="22" t="s">
        <v>42</v>
      </c>
      <c r="H31" s="22" t="s">
        <v>43</v>
      </c>
      <c r="I31" s="22" t="s">
        <v>44</v>
      </c>
      <c r="J31" s="22" t="s">
        <v>65</v>
      </c>
      <c r="M31" s="32" t="s">
        <v>77</v>
      </c>
      <c r="N31" s="32" t="s">
        <v>78</v>
      </c>
      <c r="O31" s="84" t="str">
        <f>IF(AND(ISNUMBER(P11),ISNUMBER(R11)),IF(P11&lt;R11,O11,S11),"Визначається у фіналі")</f>
        <v>Команда 5 (Бичков Олег Володимирович / Пархоменко Максим Миколайович)</v>
      </c>
      <c r="P31" s="76"/>
      <c r="Q31" s="76"/>
      <c r="R31" s="77"/>
      <c r="S31" s="21"/>
      <c r="T31" s="21"/>
      <c r="U31" s="21"/>
      <c r="V31" s="21"/>
    </row>
    <row r="32" spans="2:22" ht="51" x14ac:dyDescent="0.2">
      <c r="B32" s="24" t="s">
        <v>79</v>
      </c>
      <c r="C32" s="25" t="str">
        <f>C14</f>
        <v>Команда 2 (Кухаренко Олександр / Васильєв Олексій Михайлович)</v>
      </c>
      <c r="D32" s="29">
        <v>3</v>
      </c>
      <c r="E32" s="24" t="s">
        <v>40</v>
      </c>
      <c r="F32" s="27">
        <v>11</v>
      </c>
      <c r="G32" s="25" t="str">
        <f>C15</f>
        <v>Команда 5 (Бичков Олег Володимирович / Пархоменко Максим Миколайович)</v>
      </c>
      <c r="H32" s="24" t="str">
        <f t="shared" ref="H32:H37" si="22">IF(OR(ISBLANK(D32),ISBLANK(F32)),"—",IF(D32&gt;F32,C32,IF(F32&gt;D32,G32,"Нічия")))</f>
        <v>Команда 5 (Бичков Олег Володимирович / Пархоменко Максим Миколайович)</v>
      </c>
      <c r="I32" s="24" t="str">
        <f t="shared" ref="I32:I37" si="23">IF(OR(ISBLANK(D32),ISBLANK(F32)),"Очікується","Завершено")</f>
        <v>Завершено</v>
      </c>
      <c r="J32" s="30">
        <f t="shared" ref="J32:J37" si="24">IF(OR(ISBLANK(D32),ISBLANK(F32)),"—",ABS(D32-F32))</f>
        <v>8</v>
      </c>
      <c r="M32" s="33" t="s">
        <v>80</v>
      </c>
      <c r="N32" s="33" t="s">
        <v>51</v>
      </c>
      <c r="O32" s="75" t="str">
        <f>IF(T9="—","Визначається у матчі за 3-тє місце",T9)</f>
        <v>Команда 1 (Рябошапко Арсен / Олейник Юрій Валерійович)</v>
      </c>
      <c r="P32" s="76"/>
      <c r="Q32" s="76"/>
      <c r="R32" s="77"/>
      <c r="S32" s="21"/>
      <c r="T32" s="21"/>
      <c r="U32" s="21"/>
      <c r="V32" s="21"/>
    </row>
    <row r="33" spans="2:22" ht="38.25" x14ac:dyDescent="0.2">
      <c r="B33" s="24" t="s">
        <v>81</v>
      </c>
      <c r="C33" s="25" t="str">
        <f>C16</f>
        <v>Команда 6 (Довгань Олександр / Катеринич Олександр Олександрович)</v>
      </c>
      <c r="D33" s="29">
        <v>8</v>
      </c>
      <c r="E33" s="24" t="s">
        <v>40</v>
      </c>
      <c r="F33" s="27">
        <v>11</v>
      </c>
      <c r="G33" s="25" t="str">
        <f>C17</f>
        <v>Команда 8 (Зімін Михайло Володимирович / Папуров Григорій Георгійович)</v>
      </c>
      <c r="H33" s="24" t="str">
        <f t="shared" si="22"/>
        <v>Команда 8 (Зімін Михайло Володимирович / Папуров Григорій Георгійович)</v>
      </c>
      <c r="I33" s="24" t="str">
        <f t="shared" si="23"/>
        <v>Завершено</v>
      </c>
      <c r="J33" s="30">
        <f t="shared" si="24"/>
        <v>3</v>
      </c>
      <c r="M33" s="21"/>
      <c r="N33" s="21"/>
      <c r="O33" s="21"/>
      <c r="P33" s="21"/>
      <c r="Q33" s="21"/>
      <c r="R33" s="21"/>
      <c r="S33" s="21"/>
      <c r="T33" s="21"/>
      <c r="U33" s="21"/>
      <c r="V33" s="21"/>
    </row>
    <row r="34" spans="2:22" ht="38.25" x14ac:dyDescent="0.2">
      <c r="B34" s="24" t="s">
        <v>82</v>
      </c>
      <c r="C34" s="25" t="str">
        <f t="shared" ref="C34:C35" si="25">C14</f>
        <v>Команда 2 (Кухаренко Олександр / Васильєв Олексій Михайлович)</v>
      </c>
      <c r="D34" s="29">
        <v>4</v>
      </c>
      <c r="E34" s="24" t="s">
        <v>40</v>
      </c>
      <c r="F34" s="27">
        <v>11</v>
      </c>
      <c r="G34" s="25" t="str">
        <f t="shared" ref="G34:G35" si="26">C16</f>
        <v>Команда 6 (Довгань Олександр / Катеринич Олександр Олександрович)</v>
      </c>
      <c r="H34" s="24" t="str">
        <f t="shared" si="22"/>
        <v>Команда 6 (Довгань Олександр / Катеринич Олександр Олександрович)</v>
      </c>
      <c r="I34" s="24" t="str">
        <f t="shared" si="23"/>
        <v>Завершено</v>
      </c>
      <c r="J34" s="30">
        <f t="shared" si="24"/>
        <v>7</v>
      </c>
    </row>
    <row r="35" spans="2:22" ht="51" x14ac:dyDescent="0.2">
      <c r="B35" s="24" t="s">
        <v>83</v>
      </c>
      <c r="C35" s="25" t="str">
        <f t="shared" si="25"/>
        <v>Команда 5 (Бичков Олег Володимирович / Пархоменко Максим Миколайович)</v>
      </c>
      <c r="D35" s="29">
        <v>11</v>
      </c>
      <c r="E35" s="24" t="s">
        <v>40</v>
      </c>
      <c r="F35" s="27">
        <v>5</v>
      </c>
      <c r="G35" s="25" t="str">
        <f t="shared" si="26"/>
        <v>Команда 8 (Зімін Михайло Володимирович / Папуров Григорій Георгійович)</v>
      </c>
      <c r="H35" s="24" t="str">
        <f t="shared" si="22"/>
        <v>Команда 5 (Бичков Олег Володимирович / Пархоменко Максим Миколайович)</v>
      </c>
      <c r="I35" s="24" t="str">
        <f t="shared" si="23"/>
        <v>Завершено</v>
      </c>
      <c r="J35" s="30">
        <f t="shared" si="24"/>
        <v>6</v>
      </c>
    </row>
    <row r="36" spans="2:22" ht="38.25" x14ac:dyDescent="0.2">
      <c r="B36" s="24" t="s">
        <v>84</v>
      </c>
      <c r="C36" s="25" t="str">
        <f t="shared" ref="C36:C37" si="27">C14</f>
        <v>Команда 2 (Кухаренко Олександр / Васильєв Олексій Михайлович)</v>
      </c>
      <c r="D36" s="29">
        <v>2</v>
      </c>
      <c r="E36" s="24" t="s">
        <v>40</v>
      </c>
      <c r="F36" s="27">
        <v>11</v>
      </c>
      <c r="G36" s="25" t="str">
        <f>C17</f>
        <v>Команда 8 (Зімін Михайло Володимирович / Папуров Григорій Георгійович)</v>
      </c>
      <c r="H36" s="24" t="str">
        <f t="shared" si="22"/>
        <v>Команда 8 (Зімін Михайло Володимирович / Папуров Григорій Георгійович)</v>
      </c>
      <c r="I36" s="24" t="str">
        <f t="shared" si="23"/>
        <v>Завершено</v>
      </c>
      <c r="J36" s="30">
        <f t="shared" si="24"/>
        <v>9</v>
      </c>
    </row>
    <row r="37" spans="2:22" ht="51" x14ac:dyDescent="0.2">
      <c r="B37" s="24" t="s">
        <v>85</v>
      </c>
      <c r="C37" s="25" t="str">
        <f t="shared" si="27"/>
        <v>Команда 5 (Бичков Олег Володимирович / Пархоменко Максим Миколайович)</v>
      </c>
      <c r="D37" s="29">
        <v>4</v>
      </c>
      <c r="E37" s="24" t="s">
        <v>40</v>
      </c>
      <c r="F37" s="27">
        <v>11</v>
      </c>
      <c r="G37" s="25" t="str">
        <f>C16</f>
        <v>Команда 6 (Довгань Олександр / Катеринич Олександр Олександрович)</v>
      </c>
      <c r="H37" s="24" t="str">
        <f t="shared" si="22"/>
        <v>Команда 6 (Довгань Олександр / Катеринич Олександр Олександрович)</v>
      </c>
      <c r="I37" s="24" t="str">
        <f t="shared" si="23"/>
        <v>Завершено</v>
      </c>
      <c r="J37" s="30">
        <f t="shared" si="24"/>
        <v>7</v>
      </c>
      <c r="O37" s="28" t="s">
        <v>86</v>
      </c>
      <c r="P37" s="28"/>
      <c r="Q37" s="28" t="s">
        <v>40</v>
      </c>
      <c r="R37" s="28"/>
      <c r="S37" s="28" t="s">
        <v>87</v>
      </c>
    </row>
    <row r="38" spans="2:22" ht="12.75" x14ac:dyDescent="0.2">
      <c r="B38" s="21"/>
      <c r="C38" s="21"/>
      <c r="D38" s="21"/>
      <c r="E38" s="21"/>
      <c r="F38" s="21"/>
      <c r="G38" s="21"/>
      <c r="H38" s="21"/>
      <c r="I38" s="21"/>
      <c r="J38" s="21"/>
    </row>
    <row r="41" spans="2:22" ht="12.75" x14ac:dyDescent="0.2">
      <c r="O41" s="28" t="s">
        <v>88</v>
      </c>
      <c r="Q41" s="28">
        <v>11</v>
      </c>
      <c r="R41" s="28">
        <v>1</v>
      </c>
      <c r="S41" s="28" t="s">
        <v>89</v>
      </c>
    </row>
    <row r="42" spans="2:22" ht="12.75" x14ac:dyDescent="0.2">
      <c r="Q42" s="28">
        <v>11</v>
      </c>
      <c r="R42" s="28">
        <v>2</v>
      </c>
    </row>
    <row r="46" spans="2:22" ht="12.75" x14ac:dyDescent="0.2">
      <c r="C46" s="28" t="s">
        <v>90</v>
      </c>
      <c r="D46" s="28">
        <v>6</v>
      </c>
      <c r="F46" s="28">
        <v>11</v>
      </c>
      <c r="G46" s="28" t="s">
        <v>91</v>
      </c>
      <c r="O46" s="28" t="s">
        <v>86</v>
      </c>
      <c r="S46" s="28" t="s">
        <v>89</v>
      </c>
    </row>
    <row r="47" spans="2:22" ht="12.75" x14ac:dyDescent="0.2">
      <c r="C47" s="28" t="s">
        <v>92</v>
      </c>
      <c r="G47" s="28" t="s">
        <v>93</v>
      </c>
    </row>
    <row r="48" spans="2:22" ht="12.75" x14ac:dyDescent="0.2">
      <c r="O48" s="28" t="s">
        <v>87</v>
      </c>
      <c r="Q48" s="28">
        <v>7</v>
      </c>
      <c r="R48" s="28">
        <v>11</v>
      </c>
      <c r="S48" s="28" t="s">
        <v>88</v>
      </c>
    </row>
  </sheetData>
  <mergeCells count="18">
    <mergeCell ref="B2:J2"/>
    <mergeCell ref="B4:J4"/>
    <mergeCell ref="M4:V4"/>
    <mergeCell ref="B12:J12"/>
    <mergeCell ref="M14:V14"/>
    <mergeCell ref="M15:V15"/>
    <mergeCell ref="M16:V16"/>
    <mergeCell ref="O29:R29"/>
    <mergeCell ref="O30:R30"/>
    <mergeCell ref="O31:R31"/>
    <mergeCell ref="O32:R32"/>
    <mergeCell ref="M17:V17"/>
    <mergeCell ref="B18:J18"/>
    <mergeCell ref="M18:V18"/>
    <mergeCell ref="M19:V19"/>
    <mergeCell ref="B21:J21"/>
    <mergeCell ref="M28:R28"/>
    <mergeCell ref="B30:J30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990"/>
  <sheetViews>
    <sheetView workbookViewId="0">
      <selection activeCell="E19" sqref="E19"/>
    </sheetView>
  </sheetViews>
  <sheetFormatPr defaultColWidth="12.5703125" defaultRowHeight="15.75" customHeight="1" x14ac:dyDescent="0.2"/>
  <cols>
    <col min="1" max="1" width="14.42578125" customWidth="1"/>
    <col min="2" max="2" width="13.85546875" customWidth="1"/>
    <col min="3" max="3" width="12.140625" customWidth="1"/>
    <col min="4" max="4" width="19.140625" customWidth="1"/>
    <col min="5" max="5" width="39.7109375" customWidth="1"/>
    <col min="6" max="6" width="7.5703125" customWidth="1"/>
    <col min="7" max="7" width="13.42578125" customWidth="1"/>
    <col min="8" max="8" width="36.7109375" customWidth="1"/>
    <col min="9" max="9" width="19.85546875" customWidth="1"/>
    <col min="10" max="10" width="21.85546875" customWidth="1"/>
    <col min="11" max="11" width="17.140625" customWidth="1"/>
  </cols>
  <sheetData>
    <row r="1" spans="1:29" x14ac:dyDescent="0.2">
      <c r="A1" s="34"/>
      <c r="B1" s="35"/>
      <c r="C1" s="3" t="s">
        <v>0</v>
      </c>
      <c r="D1" s="3" t="s">
        <v>1</v>
      </c>
      <c r="E1" s="3" t="s">
        <v>2</v>
      </c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x14ac:dyDescent="0.2">
      <c r="A2" s="1">
        <v>11</v>
      </c>
      <c r="B2" s="2">
        <v>46287.765972222223</v>
      </c>
      <c r="C2" s="3">
        <v>1</v>
      </c>
      <c r="D2" s="3">
        <v>3</v>
      </c>
      <c r="E2" s="3" t="s">
        <v>94</v>
      </c>
      <c r="F2" s="3">
        <v>1</v>
      </c>
      <c r="G2" s="3" t="s">
        <v>4</v>
      </c>
      <c r="H2" s="3" t="s">
        <v>13</v>
      </c>
      <c r="I2" s="3"/>
      <c r="J2" s="3"/>
      <c r="K2" s="3" t="s">
        <v>4</v>
      </c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</row>
    <row r="3" spans="1:29" x14ac:dyDescent="0.2">
      <c r="A3" s="1">
        <v>6</v>
      </c>
      <c r="B3" s="2">
        <v>46286.45208333333</v>
      </c>
      <c r="C3" s="3">
        <v>1</v>
      </c>
      <c r="D3" s="3">
        <v>3.2</v>
      </c>
      <c r="E3" s="3" t="s">
        <v>95</v>
      </c>
      <c r="F3" s="3">
        <v>1</v>
      </c>
      <c r="G3" s="3" t="s">
        <v>4</v>
      </c>
      <c r="H3" s="3" t="s">
        <v>13</v>
      </c>
      <c r="I3" s="3"/>
      <c r="J3" s="3"/>
      <c r="K3" s="3" t="s">
        <v>4</v>
      </c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</row>
    <row r="4" spans="1:29" x14ac:dyDescent="0.2">
      <c r="A4" s="1"/>
      <c r="B4" s="2"/>
      <c r="C4" s="3">
        <v>1</v>
      </c>
      <c r="D4" s="3">
        <v>11</v>
      </c>
      <c r="E4" s="37" t="s">
        <v>96</v>
      </c>
      <c r="F4" s="3"/>
      <c r="G4" s="3"/>
      <c r="H4" s="3"/>
      <c r="I4" s="3"/>
      <c r="J4" s="3"/>
      <c r="K4" s="3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</row>
    <row r="5" spans="1:29" x14ac:dyDescent="0.2">
      <c r="A5" s="1">
        <v>15</v>
      </c>
      <c r="B5" s="2">
        <v>46288.600694444445</v>
      </c>
      <c r="C5" s="3">
        <v>1</v>
      </c>
      <c r="D5" s="3">
        <v>11.2</v>
      </c>
      <c r="E5" s="38" t="s">
        <v>6</v>
      </c>
      <c r="F5" s="3">
        <v>1</v>
      </c>
      <c r="G5" s="3" t="s">
        <v>4</v>
      </c>
      <c r="H5" s="3" t="s">
        <v>13</v>
      </c>
      <c r="I5" s="3"/>
      <c r="J5" s="3"/>
      <c r="K5" s="3" t="s">
        <v>4</v>
      </c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</row>
    <row r="6" spans="1:29" x14ac:dyDescent="0.2">
      <c r="A6" s="1">
        <v>29</v>
      </c>
      <c r="B6" s="2">
        <v>46291.779861111114</v>
      </c>
      <c r="C6" s="3">
        <v>1</v>
      </c>
      <c r="D6" s="3">
        <v>12</v>
      </c>
      <c r="E6" s="3" t="s">
        <v>97</v>
      </c>
      <c r="F6" s="3">
        <v>1</v>
      </c>
      <c r="G6" s="3" t="s">
        <v>4</v>
      </c>
      <c r="H6" s="3" t="s">
        <v>13</v>
      </c>
      <c r="I6" s="3"/>
      <c r="J6" s="3"/>
      <c r="K6" s="3" t="s">
        <v>4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</row>
    <row r="7" spans="1:29" x14ac:dyDescent="0.2">
      <c r="A7" s="1"/>
      <c r="B7" s="2"/>
      <c r="C7" s="3">
        <v>1</v>
      </c>
      <c r="D7" s="3">
        <v>12.2</v>
      </c>
      <c r="E7" s="12" t="s">
        <v>98</v>
      </c>
      <c r="F7" s="3"/>
      <c r="G7" s="3"/>
      <c r="H7" s="3"/>
      <c r="I7" s="3"/>
      <c r="J7" s="3"/>
      <c r="K7" s="3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</row>
    <row r="8" spans="1:29" x14ac:dyDescent="0.2">
      <c r="A8" s="1"/>
      <c r="B8" s="2"/>
      <c r="C8" s="3">
        <v>1</v>
      </c>
      <c r="D8" s="3">
        <v>13</v>
      </c>
      <c r="E8" s="12" t="s">
        <v>99</v>
      </c>
      <c r="F8" s="3"/>
      <c r="G8" s="3"/>
      <c r="H8" s="3"/>
      <c r="I8" s="3"/>
      <c r="J8" s="3"/>
      <c r="K8" s="3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</row>
    <row r="9" spans="1:29" x14ac:dyDescent="0.2">
      <c r="A9" s="1"/>
      <c r="B9" s="2"/>
      <c r="C9" s="3">
        <v>1</v>
      </c>
      <c r="D9" s="3">
        <v>13.2</v>
      </c>
      <c r="E9" s="12" t="s">
        <v>100</v>
      </c>
      <c r="F9" s="3"/>
      <c r="G9" s="3"/>
      <c r="H9" s="3"/>
      <c r="I9" s="3"/>
      <c r="J9" s="3"/>
      <c r="K9" s="3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</row>
    <row r="10" spans="1:29" x14ac:dyDescent="0.2">
      <c r="A10" s="1">
        <v>49</v>
      </c>
      <c r="B10" s="2">
        <v>46299.85</v>
      </c>
      <c r="C10" s="39">
        <v>2</v>
      </c>
      <c r="D10" s="39">
        <v>4</v>
      </c>
      <c r="E10" s="39" t="s">
        <v>101</v>
      </c>
      <c r="F10" s="3">
        <v>1</v>
      </c>
      <c r="G10" s="3" t="s">
        <v>4</v>
      </c>
      <c r="H10" s="3" t="s">
        <v>13</v>
      </c>
      <c r="I10" s="39"/>
      <c r="J10" s="36"/>
      <c r="K10" s="3" t="s">
        <v>4</v>
      </c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</row>
    <row r="11" spans="1:29" x14ac:dyDescent="0.2">
      <c r="A11" s="1">
        <v>13</v>
      </c>
      <c r="B11" s="2">
        <v>46288.527083333334</v>
      </c>
      <c r="C11" s="3">
        <v>2</v>
      </c>
      <c r="D11" s="3">
        <v>4.2</v>
      </c>
      <c r="E11" s="3" t="s">
        <v>102</v>
      </c>
      <c r="F11" s="3">
        <v>1</v>
      </c>
      <c r="G11" s="3" t="s">
        <v>4</v>
      </c>
      <c r="H11" s="3" t="s">
        <v>13</v>
      </c>
      <c r="I11" s="3"/>
      <c r="J11" s="3"/>
      <c r="K11" s="3" t="s">
        <v>4</v>
      </c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</row>
    <row r="12" spans="1:29" x14ac:dyDescent="0.2">
      <c r="A12" s="1">
        <v>19</v>
      </c>
      <c r="B12" s="2">
        <v>46289.395833333336</v>
      </c>
      <c r="C12" s="3">
        <v>2</v>
      </c>
      <c r="D12" s="3">
        <v>7</v>
      </c>
      <c r="E12" s="3" t="s">
        <v>103</v>
      </c>
      <c r="F12" s="3">
        <v>1</v>
      </c>
      <c r="G12" s="3" t="s">
        <v>4</v>
      </c>
      <c r="H12" s="3" t="s">
        <v>13</v>
      </c>
      <c r="I12" s="3"/>
      <c r="J12" s="3"/>
      <c r="K12" s="3" t="s">
        <v>4</v>
      </c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</row>
    <row r="13" spans="1:29" x14ac:dyDescent="0.2">
      <c r="A13" s="1">
        <v>22</v>
      </c>
      <c r="B13" s="2">
        <v>46289.522916666669</v>
      </c>
      <c r="C13" s="3">
        <v>2</v>
      </c>
      <c r="D13" s="3">
        <v>7.2</v>
      </c>
      <c r="E13" s="3" t="s">
        <v>104</v>
      </c>
      <c r="F13" s="3">
        <v>1</v>
      </c>
      <c r="G13" s="3" t="s">
        <v>4</v>
      </c>
      <c r="H13" s="3" t="s">
        <v>13</v>
      </c>
      <c r="I13" s="3"/>
      <c r="J13" s="36"/>
      <c r="K13" s="3" t="s">
        <v>4</v>
      </c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</row>
    <row r="14" spans="1:29" x14ac:dyDescent="0.2">
      <c r="A14" s="1">
        <v>36</v>
      </c>
      <c r="B14" s="2">
        <v>46296.490972222222</v>
      </c>
      <c r="C14" s="3">
        <v>2</v>
      </c>
      <c r="D14" s="3">
        <v>9</v>
      </c>
      <c r="E14" s="3" t="s">
        <v>105</v>
      </c>
      <c r="F14" s="3">
        <v>1</v>
      </c>
      <c r="G14" s="3" t="s">
        <v>4</v>
      </c>
      <c r="H14" s="3" t="s">
        <v>13</v>
      </c>
      <c r="I14" s="3"/>
      <c r="J14" s="3"/>
      <c r="K14" s="3" t="s">
        <v>4</v>
      </c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</row>
    <row r="15" spans="1:29" x14ac:dyDescent="0.2">
      <c r="A15" s="1">
        <v>37</v>
      </c>
      <c r="B15" s="2">
        <v>46296.49722222222</v>
      </c>
      <c r="C15" s="3">
        <v>2</v>
      </c>
      <c r="D15" s="3">
        <v>9.1999999999999993</v>
      </c>
      <c r="E15" s="3" t="s">
        <v>106</v>
      </c>
      <c r="F15" s="3">
        <v>1</v>
      </c>
      <c r="G15" s="3" t="s">
        <v>4</v>
      </c>
      <c r="H15" s="3" t="s">
        <v>13</v>
      </c>
      <c r="I15" s="3"/>
      <c r="J15" s="3"/>
      <c r="K15" s="3" t="s">
        <v>4</v>
      </c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</row>
    <row r="16" spans="1:29" x14ac:dyDescent="0.2">
      <c r="A16" s="1"/>
      <c r="B16" s="2"/>
      <c r="C16" s="3">
        <v>2</v>
      </c>
      <c r="D16" s="3">
        <v>14</v>
      </c>
      <c r="E16" s="12" t="s">
        <v>107</v>
      </c>
      <c r="F16" s="3"/>
      <c r="G16" s="3"/>
      <c r="H16" s="3"/>
      <c r="I16" s="3"/>
      <c r="J16" s="3"/>
      <c r="K16" s="3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</row>
    <row r="17" spans="1:29" x14ac:dyDescent="0.2">
      <c r="A17" s="1">
        <v>5</v>
      </c>
      <c r="B17" s="2">
        <v>46286.423611111109</v>
      </c>
      <c r="C17" s="3">
        <v>2</v>
      </c>
      <c r="D17" s="3">
        <v>14.2</v>
      </c>
      <c r="E17" s="3" t="s">
        <v>108</v>
      </c>
      <c r="F17" s="3">
        <v>1</v>
      </c>
      <c r="G17" s="3" t="s">
        <v>4</v>
      </c>
      <c r="H17" s="3" t="s">
        <v>13</v>
      </c>
      <c r="I17" s="3"/>
      <c r="J17" s="3"/>
      <c r="K17" s="3" t="s">
        <v>4</v>
      </c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</row>
    <row r="18" spans="1:29" x14ac:dyDescent="0.2">
      <c r="A18" s="1">
        <v>30</v>
      </c>
      <c r="B18" s="2">
        <v>46292.654166666667</v>
      </c>
      <c r="C18" s="3">
        <v>3</v>
      </c>
      <c r="D18" s="3">
        <v>2</v>
      </c>
      <c r="E18" s="3" t="s">
        <v>168</v>
      </c>
      <c r="F18" s="3">
        <v>1</v>
      </c>
      <c r="G18" s="3" t="s">
        <v>4</v>
      </c>
      <c r="H18" s="3" t="s">
        <v>109</v>
      </c>
      <c r="I18" s="3"/>
      <c r="J18" s="3"/>
      <c r="K18" s="3" t="s">
        <v>4</v>
      </c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</row>
    <row r="19" spans="1:29" x14ac:dyDescent="0.2">
      <c r="A19" s="1"/>
      <c r="B19" s="2"/>
      <c r="C19" s="3">
        <v>3</v>
      </c>
      <c r="D19" s="3">
        <v>2.2000000000000002</v>
      </c>
      <c r="E19" s="3" t="s">
        <v>110</v>
      </c>
      <c r="F19" s="3">
        <v>1</v>
      </c>
      <c r="G19" s="3" t="s">
        <v>4</v>
      </c>
      <c r="H19" s="3" t="s">
        <v>109</v>
      </c>
      <c r="I19" s="3"/>
      <c r="J19" s="3"/>
      <c r="K19" s="3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</row>
    <row r="20" spans="1:29" x14ac:dyDescent="0.2">
      <c r="A20" s="1">
        <v>38</v>
      </c>
      <c r="B20" s="2">
        <v>46296.620138888888</v>
      </c>
      <c r="C20" s="3">
        <v>3</v>
      </c>
      <c r="D20" s="3">
        <v>5</v>
      </c>
      <c r="E20" s="3" t="s">
        <v>111</v>
      </c>
      <c r="F20" s="3">
        <v>1</v>
      </c>
      <c r="G20" s="3" t="s">
        <v>4</v>
      </c>
      <c r="H20" s="3" t="s">
        <v>13</v>
      </c>
      <c r="I20" s="3"/>
      <c r="J20" s="3"/>
      <c r="K20" s="3" t="s">
        <v>4</v>
      </c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</row>
    <row r="21" spans="1:29" x14ac:dyDescent="0.2">
      <c r="A21" s="1">
        <v>1</v>
      </c>
      <c r="B21" s="2">
        <v>46286.382638888892</v>
      </c>
      <c r="C21" s="3">
        <v>3</v>
      </c>
      <c r="D21" s="3">
        <v>5.2</v>
      </c>
      <c r="E21" s="38" t="s">
        <v>112</v>
      </c>
      <c r="F21" s="3">
        <v>1</v>
      </c>
      <c r="G21" s="3" t="s">
        <v>4</v>
      </c>
      <c r="H21" s="3" t="s">
        <v>13</v>
      </c>
      <c r="I21" s="3"/>
      <c r="J21" s="3"/>
      <c r="K21" s="3" t="s">
        <v>4</v>
      </c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</row>
    <row r="22" spans="1:29" x14ac:dyDescent="0.2">
      <c r="A22" s="1">
        <v>45</v>
      </c>
      <c r="B22" s="2">
        <v>46299.767361111109</v>
      </c>
      <c r="C22" s="3">
        <v>3</v>
      </c>
      <c r="D22" s="3">
        <v>10</v>
      </c>
      <c r="E22" s="3" t="s">
        <v>113</v>
      </c>
      <c r="F22" s="3">
        <v>1</v>
      </c>
      <c r="G22" s="3" t="s">
        <v>4</v>
      </c>
      <c r="H22" s="3" t="s">
        <v>13</v>
      </c>
      <c r="I22" s="3"/>
      <c r="J22" s="3"/>
      <c r="K22" s="3" t="s">
        <v>4</v>
      </c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</row>
    <row r="23" spans="1:29" x14ac:dyDescent="0.2">
      <c r="A23" s="1"/>
      <c r="B23" s="2"/>
      <c r="C23" s="3">
        <v>3</v>
      </c>
      <c r="D23" s="3">
        <v>10.199999999999999</v>
      </c>
      <c r="E23" s="12" t="s">
        <v>114</v>
      </c>
      <c r="F23" s="3"/>
      <c r="G23" s="3"/>
      <c r="H23" s="37" t="s">
        <v>115</v>
      </c>
      <c r="I23" s="3"/>
      <c r="J23" s="3"/>
      <c r="K23" s="3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</row>
    <row r="24" spans="1:29" x14ac:dyDescent="0.2">
      <c r="A24" s="1">
        <v>14</v>
      </c>
      <c r="B24" s="2">
        <v>46288.545138888891</v>
      </c>
      <c r="C24" s="3">
        <v>4</v>
      </c>
      <c r="D24" s="3">
        <v>1</v>
      </c>
      <c r="E24" s="3" t="s">
        <v>116</v>
      </c>
      <c r="F24" s="3">
        <v>1</v>
      </c>
      <c r="G24" s="3" t="s">
        <v>4</v>
      </c>
      <c r="H24" s="3" t="s">
        <v>13</v>
      </c>
      <c r="I24" s="3"/>
      <c r="J24" s="3"/>
      <c r="K24" s="3" t="s">
        <v>4</v>
      </c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</row>
    <row r="25" spans="1:29" x14ac:dyDescent="0.2">
      <c r="A25" s="1">
        <v>16</v>
      </c>
      <c r="B25" s="2">
        <v>46288.666666666664</v>
      </c>
      <c r="C25" s="3">
        <v>4</v>
      </c>
      <c r="D25" s="3">
        <v>1.2</v>
      </c>
      <c r="E25" s="3" t="s">
        <v>117</v>
      </c>
      <c r="F25" s="3">
        <v>1</v>
      </c>
      <c r="G25" s="3" t="s">
        <v>4</v>
      </c>
      <c r="H25" s="3" t="s">
        <v>13</v>
      </c>
      <c r="I25" s="3"/>
      <c r="J25" s="3"/>
      <c r="K25" s="3" t="s">
        <v>4</v>
      </c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</row>
    <row r="26" spans="1:29" x14ac:dyDescent="0.2">
      <c r="A26" s="1">
        <v>10</v>
      </c>
      <c r="B26" s="2">
        <v>46286.894444444442</v>
      </c>
      <c r="C26" s="3">
        <v>4</v>
      </c>
      <c r="D26" s="3">
        <v>6</v>
      </c>
      <c r="E26" s="3" t="s">
        <v>118</v>
      </c>
      <c r="F26" s="3">
        <v>1</v>
      </c>
      <c r="G26" s="3" t="s">
        <v>4</v>
      </c>
      <c r="H26" s="3" t="s">
        <v>109</v>
      </c>
      <c r="I26" s="3"/>
      <c r="J26" s="3"/>
      <c r="K26" s="3" t="s">
        <v>4</v>
      </c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</row>
    <row r="27" spans="1:29" x14ac:dyDescent="0.2">
      <c r="A27" s="1">
        <v>50</v>
      </c>
      <c r="B27" s="2">
        <v>46300.816666666666</v>
      </c>
      <c r="C27" s="3">
        <v>4</v>
      </c>
      <c r="D27" s="3">
        <v>6.2</v>
      </c>
      <c r="E27" s="3" t="s">
        <v>119</v>
      </c>
      <c r="F27" s="3">
        <v>1</v>
      </c>
      <c r="G27" s="3" t="s">
        <v>4</v>
      </c>
      <c r="H27" s="3" t="s">
        <v>13</v>
      </c>
      <c r="I27" s="3"/>
      <c r="J27" s="3"/>
      <c r="K27" s="3" t="s">
        <v>4</v>
      </c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</row>
    <row r="28" spans="1:29" x14ac:dyDescent="0.2">
      <c r="A28" s="1">
        <v>32</v>
      </c>
      <c r="B28" s="2">
        <v>46292.808333333334</v>
      </c>
      <c r="C28" s="3">
        <v>4</v>
      </c>
      <c r="D28" s="3">
        <v>8</v>
      </c>
      <c r="E28" s="3" t="s">
        <v>120</v>
      </c>
      <c r="F28" s="3">
        <v>1</v>
      </c>
      <c r="G28" s="3" t="s">
        <v>4</v>
      </c>
      <c r="H28" s="3" t="s">
        <v>13</v>
      </c>
      <c r="I28" s="3"/>
      <c r="J28" s="3"/>
      <c r="K28" s="3" t="s">
        <v>4</v>
      </c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</row>
    <row r="29" spans="1:29" x14ac:dyDescent="0.2">
      <c r="A29" s="1">
        <v>31</v>
      </c>
      <c r="B29" s="2">
        <v>46292.803472222222</v>
      </c>
      <c r="C29" s="3">
        <v>4</v>
      </c>
      <c r="D29" s="3">
        <v>8.1999999999999993</v>
      </c>
      <c r="E29" s="3" t="s">
        <v>121</v>
      </c>
      <c r="F29" s="3">
        <v>1</v>
      </c>
      <c r="G29" s="3" t="s">
        <v>4</v>
      </c>
      <c r="H29" s="3" t="s">
        <v>13</v>
      </c>
      <c r="I29" s="3"/>
      <c r="J29" s="3"/>
      <c r="K29" s="3" t="s">
        <v>4</v>
      </c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</row>
    <row r="30" spans="1:29" x14ac:dyDescent="0.2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</row>
    <row r="31" spans="1:29" x14ac:dyDescent="0.2">
      <c r="A31" s="36"/>
      <c r="B31" s="36"/>
      <c r="C31" s="36"/>
      <c r="D31" s="36"/>
      <c r="E31" s="3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</row>
    <row r="32" spans="1:29" x14ac:dyDescent="0.2">
      <c r="A32" s="36"/>
      <c r="B32" s="36"/>
      <c r="C32" s="36"/>
      <c r="D32" s="36"/>
      <c r="E32" s="3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</row>
    <row r="33" spans="1:29" x14ac:dyDescent="0.2">
      <c r="A33" s="36"/>
      <c r="B33" s="36"/>
      <c r="C33" s="36"/>
      <c r="D33" s="36"/>
      <c r="E33" s="3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</row>
    <row r="34" spans="1:29" x14ac:dyDescent="0.2">
      <c r="A34" s="36"/>
      <c r="B34" s="36"/>
      <c r="C34" s="36"/>
      <c r="D34" s="36"/>
      <c r="E34" s="3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</row>
    <row r="35" spans="1:29" x14ac:dyDescent="0.2">
      <c r="A35" s="36"/>
      <c r="B35" s="36"/>
      <c r="C35" s="36"/>
      <c r="D35" s="36"/>
      <c r="E35" s="3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</row>
    <row r="36" spans="1:29" x14ac:dyDescent="0.2">
      <c r="A36" s="36"/>
      <c r="B36" s="36"/>
      <c r="C36" s="36"/>
      <c r="D36" s="36"/>
      <c r="E36" s="3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</row>
    <row r="37" spans="1:29" x14ac:dyDescent="0.2">
      <c r="A37" s="36"/>
      <c r="B37" s="36"/>
      <c r="C37" s="36"/>
      <c r="D37" s="36"/>
      <c r="E37" s="12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</row>
    <row r="38" spans="1:29" x14ac:dyDescent="0.2">
      <c r="A38" s="36"/>
      <c r="B38" s="36"/>
      <c r="C38" s="36"/>
      <c r="D38" s="36"/>
      <c r="E38" s="3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</row>
    <row r="39" spans="1:29" x14ac:dyDescent="0.2">
      <c r="A39" s="36"/>
      <c r="B39" s="36"/>
      <c r="C39" s="36"/>
      <c r="D39" s="36"/>
      <c r="E39" s="12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</row>
    <row r="40" spans="1:29" x14ac:dyDescent="0.2">
      <c r="A40" s="36"/>
      <c r="B40" s="36"/>
      <c r="C40" s="36"/>
      <c r="D40" s="36"/>
      <c r="E40" s="12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</row>
    <row r="41" spans="1:29" x14ac:dyDescent="0.2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</row>
    <row r="42" spans="1:29" x14ac:dyDescent="0.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</row>
    <row r="43" spans="1:29" x14ac:dyDescent="0.2">
      <c r="A43" s="36"/>
      <c r="B43" s="36"/>
      <c r="C43" s="36"/>
      <c r="D43" s="36"/>
      <c r="E43" s="3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</row>
    <row r="44" spans="1:29" x14ac:dyDescent="0.2">
      <c r="A44" s="36"/>
      <c r="B44" s="36"/>
      <c r="C44" s="36"/>
      <c r="D44" s="36"/>
      <c r="E44" s="3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</row>
    <row r="45" spans="1:29" x14ac:dyDescent="0.2">
      <c r="A45" s="36"/>
      <c r="B45" s="36"/>
      <c r="C45" s="36"/>
      <c r="D45" s="36"/>
      <c r="E45" s="3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</row>
    <row r="46" spans="1:29" x14ac:dyDescent="0.2">
      <c r="A46" s="36"/>
      <c r="B46" s="36"/>
      <c r="C46" s="36"/>
      <c r="D46" s="36"/>
      <c r="E46" s="39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</row>
    <row r="47" spans="1:29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</row>
    <row r="48" spans="1:29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</row>
    <row r="49" spans="1:29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</row>
    <row r="50" spans="1:29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</row>
    <row r="51" spans="1:29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</row>
    <row r="52" spans="1:29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</row>
    <row r="53" spans="1:29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</row>
    <row r="54" spans="1:29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</row>
    <row r="55" spans="1:29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</row>
    <row r="56" spans="1:29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</row>
    <row r="57" spans="1:29" x14ac:dyDescent="0.2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</row>
    <row r="58" spans="1:29" x14ac:dyDescent="0.2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</row>
    <row r="59" spans="1:29" x14ac:dyDescent="0.2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</row>
    <row r="60" spans="1:29" x14ac:dyDescent="0.2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</row>
    <row r="61" spans="1:29" x14ac:dyDescent="0.2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</row>
    <row r="62" spans="1:29" x14ac:dyDescent="0.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</row>
    <row r="63" spans="1:29" x14ac:dyDescent="0.2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</row>
    <row r="64" spans="1:29" x14ac:dyDescent="0.2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</row>
    <row r="65" spans="1:29" x14ac:dyDescent="0.2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</row>
    <row r="66" spans="1:29" x14ac:dyDescent="0.2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</row>
    <row r="67" spans="1:29" x14ac:dyDescent="0.2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</row>
    <row r="68" spans="1:29" x14ac:dyDescent="0.2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</row>
    <row r="69" spans="1:29" x14ac:dyDescent="0.2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</row>
    <row r="70" spans="1:29" x14ac:dyDescent="0.2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</row>
    <row r="71" spans="1:29" x14ac:dyDescent="0.2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</row>
    <row r="72" spans="1:29" x14ac:dyDescent="0.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</row>
    <row r="73" spans="1:29" x14ac:dyDescent="0.2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</row>
    <row r="74" spans="1:29" x14ac:dyDescent="0.2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</row>
    <row r="75" spans="1:29" x14ac:dyDescent="0.2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</row>
    <row r="76" spans="1:29" x14ac:dyDescent="0.2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</row>
    <row r="77" spans="1:29" x14ac:dyDescent="0.2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</row>
    <row r="78" spans="1:29" x14ac:dyDescent="0.2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</row>
    <row r="79" spans="1:29" x14ac:dyDescent="0.2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</row>
    <row r="80" spans="1:29" x14ac:dyDescent="0.2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</row>
    <row r="81" spans="1:29" x14ac:dyDescent="0.2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</row>
    <row r="82" spans="1:29" x14ac:dyDescent="0.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</row>
    <row r="83" spans="1:29" x14ac:dyDescent="0.2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</row>
    <row r="84" spans="1:29" x14ac:dyDescent="0.2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</row>
    <row r="85" spans="1:29" x14ac:dyDescent="0.2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</row>
    <row r="86" spans="1:29" x14ac:dyDescent="0.2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</row>
    <row r="87" spans="1:29" x14ac:dyDescent="0.2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</row>
    <row r="88" spans="1:29" x14ac:dyDescent="0.2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</row>
    <row r="89" spans="1:29" x14ac:dyDescent="0.2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</row>
    <row r="90" spans="1:29" x14ac:dyDescent="0.2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</row>
    <row r="91" spans="1:29" x14ac:dyDescent="0.2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</row>
    <row r="92" spans="1:29" x14ac:dyDescent="0.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</row>
    <row r="93" spans="1:29" x14ac:dyDescent="0.2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</row>
    <row r="94" spans="1:29" x14ac:dyDescent="0.2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</row>
    <row r="95" spans="1:29" x14ac:dyDescent="0.2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</row>
    <row r="96" spans="1:29" x14ac:dyDescent="0.2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</row>
    <row r="97" spans="1:29" x14ac:dyDescent="0.2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</row>
    <row r="98" spans="1:29" x14ac:dyDescent="0.2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</row>
    <row r="99" spans="1:29" x14ac:dyDescent="0.2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</row>
    <row r="100" spans="1:29" x14ac:dyDescent="0.2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</row>
    <row r="101" spans="1:29" x14ac:dyDescent="0.2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</row>
    <row r="102" spans="1:29" x14ac:dyDescent="0.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</row>
    <row r="103" spans="1:29" x14ac:dyDescent="0.2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</row>
    <row r="104" spans="1:29" x14ac:dyDescent="0.2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</row>
    <row r="105" spans="1:29" x14ac:dyDescent="0.2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</row>
    <row r="106" spans="1:29" x14ac:dyDescent="0.2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</row>
    <row r="107" spans="1:29" x14ac:dyDescent="0.2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</row>
    <row r="108" spans="1:29" x14ac:dyDescent="0.2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</row>
    <row r="109" spans="1:29" x14ac:dyDescent="0.2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</row>
    <row r="110" spans="1:29" x14ac:dyDescent="0.2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</row>
    <row r="111" spans="1:29" x14ac:dyDescent="0.2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</row>
    <row r="112" spans="1:29" x14ac:dyDescent="0.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</row>
    <row r="113" spans="1:29" x14ac:dyDescent="0.2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</row>
    <row r="114" spans="1:29" x14ac:dyDescent="0.2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</row>
    <row r="115" spans="1:29" x14ac:dyDescent="0.2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</row>
    <row r="116" spans="1:29" x14ac:dyDescent="0.2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</row>
    <row r="117" spans="1:29" x14ac:dyDescent="0.2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</row>
    <row r="118" spans="1:29" x14ac:dyDescent="0.2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</row>
    <row r="119" spans="1:29" x14ac:dyDescent="0.2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</row>
    <row r="120" spans="1:29" x14ac:dyDescent="0.2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</row>
    <row r="121" spans="1:29" x14ac:dyDescent="0.2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</row>
    <row r="122" spans="1:29" x14ac:dyDescent="0.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</row>
    <row r="123" spans="1:29" x14ac:dyDescent="0.2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</row>
    <row r="124" spans="1:29" x14ac:dyDescent="0.2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</row>
    <row r="125" spans="1:29" x14ac:dyDescent="0.2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</row>
    <row r="126" spans="1:29" x14ac:dyDescent="0.2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</row>
    <row r="127" spans="1:29" x14ac:dyDescent="0.2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</row>
    <row r="128" spans="1:29" x14ac:dyDescent="0.2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</row>
    <row r="129" spans="1:29" x14ac:dyDescent="0.2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</row>
    <row r="130" spans="1:29" x14ac:dyDescent="0.2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</row>
    <row r="131" spans="1:29" x14ac:dyDescent="0.2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</row>
    <row r="132" spans="1:29" x14ac:dyDescent="0.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</row>
    <row r="133" spans="1:29" x14ac:dyDescent="0.2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</row>
    <row r="134" spans="1:29" x14ac:dyDescent="0.2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</row>
    <row r="135" spans="1:29" x14ac:dyDescent="0.2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</row>
    <row r="136" spans="1:29" x14ac:dyDescent="0.2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</row>
    <row r="137" spans="1:29" x14ac:dyDescent="0.2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</row>
    <row r="138" spans="1:29" x14ac:dyDescent="0.2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</row>
    <row r="139" spans="1:29" x14ac:dyDescent="0.2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</row>
    <row r="140" spans="1:29" x14ac:dyDescent="0.2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</row>
    <row r="141" spans="1:29" x14ac:dyDescent="0.2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</row>
    <row r="142" spans="1:29" x14ac:dyDescent="0.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</row>
    <row r="143" spans="1:29" x14ac:dyDescent="0.2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</row>
    <row r="144" spans="1:29" x14ac:dyDescent="0.2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</row>
    <row r="145" spans="1:29" x14ac:dyDescent="0.2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</row>
    <row r="146" spans="1:29" x14ac:dyDescent="0.2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</row>
    <row r="147" spans="1:29" x14ac:dyDescent="0.2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</row>
    <row r="148" spans="1:29" x14ac:dyDescent="0.2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</row>
    <row r="149" spans="1:29" x14ac:dyDescent="0.2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</row>
    <row r="150" spans="1:29" x14ac:dyDescent="0.2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</row>
    <row r="151" spans="1:29" x14ac:dyDescent="0.2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</row>
    <row r="152" spans="1:29" x14ac:dyDescent="0.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</row>
    <row r="153" spans="1:29" x14ac:dyDescent="0.2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</row>
    <row r="154" spans="1:29" x14ac:dyDescent="0.2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</row>
    <row r="155" spans="1:29" x14ac:dyDescent="0.2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</row>
    <row r="156" spans="1:29" x14ac:dyDescent="0.2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</row>
    <row r="157" spans="1:29" x14ac:dyDescent="0.2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</row>
    <row r="158" spans="1:29" x14ac:dyDescent="0.2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</row>
    <row r="159" spans="1:29" x14ac:dyDescent="0.2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</row>
    <row r="160" spans="1:29" x14ac:dyDescent="0.2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</row>
    <row r="161" spans="1:29" x14ac:dyDescent="0.2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</row>
    <row r="162" spans="1:29" x14ac:dyDescent="0.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</row>
    <row r="163" spans="1:29" x14ac:dyDescent="0.2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</row>
    <row r="164" spans="1:29" x14ac:dyDescent="0.2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</row>
    <row r="165" spans="1:29" x14ac:dyDescent="0.2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</row>
    <row r="166" spans="1:29" x14ac:dyDescent="0.2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</row>
    <row r="167" spans="1:29" x14ac:dyDescent="0.2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</row>
    <row r="168" spans="1:29" x14ac:dyDescent="0.2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</row>
    <row r="169" spans="1:29" x14ac:dyDescent="0.2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</row>
    <row r="170" spans="1:29" x14ac:dyDescent="0.2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</row>
    <row r="171" spans="1:29" x14ac:dyDescent="0.2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</row>
    <row r="172" spans="1:29" x14ac:dyDescent="0.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</row>
    <row r="173" spans="1:29" x14ac:dyDescent="0.2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</row>
    <row r="174" spans="1:29" x14ac:dyDescent="0.2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</row>
    <row r="175" spans="1:29" x14ac:dyDescent="0.2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</row>
    <row r="176" spans="1:29" x14ac:dyDescent="0.2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</row>
    <row r="177" spans="1:29" x14ac:dyDescent="0.2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</row>
    <row r="178" spans="1:29" x14ac:dyDescent="0.2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</row>
    <row r="179" spans="1:29" x14ac:dyDescent="0.2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</row>
    <row r="180" spans="1:29" x14ac:dyDescent="0.2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</row>
    <row r="181" spans="1:29" x14ac:dyDescent="0.2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</row>
    <row r="182" spans="1:29" x14ac:dyDescent="0.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</row>
    <row r="183" spans="1:29" x14ac:dyDescent="0.2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</row>
    <row r="184" spans="1:29" x14ac:dyDescent="0.2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</row>
    <row r="185" spans="1:29" x14ac:dyDescent="0.2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</row>
    <row r="186" spans="1:29" x14ac:dyDescent="0.2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</row>
    <row r="187" spans="1:29" x14ac:dyDescent="0.2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</row>
    <row r="188" spans="1:29" x14ac:dyDescent="0.2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</row>
    <row r="189" spans="1:29" x14ac:dyDescent="0.2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</row>
    <row r="190" spans="1:29" x14ac:dyDescent="0.2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</row>
    <row r="191" spans="1:29" x14ac:dyDescent="0.2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</row>
    <row r="192" spans="1:29" x14ac:dyDescent="0.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</row>
    <row r="193" spans="1:29" x14ac:dyDescent="0.2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</row>
    <row r="194" spans="1:29" x14ac:dyDescent="0.2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</row>
    <row r="195" spans="1:29" x14ac:dyDescent="0.2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</row>
    <row r="196" spans="1:29" x14ac:dyDescent="0.2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</row>
    <row r="197" spans="1:29" x14ac:dyDescent="0.2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</row>
    <row r="198" spans="1:29" x14ac:dyDescent="0.2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</row>
    <row r="199" spans="1:29" x14ac:dyDescent="0.2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</row>
    <row r="200" spans="1:29" x14ac:dyDescent="0.2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</row>
    <row r="201" spans="1:29" x14ac:dyDescent="0.2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</row>
    <row r="202" spans="1:29" x14ac:dyDescent="0.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</row>
    <row r="203" spans="1:29" x14ac:dyDescent="0.2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</row>
    <row r="204" spans="1:29" x14ac:dyDescent="0.2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</row>
    <row r="205" spans="1:29" x14ac:dyDescent="0.2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</row>
    <row r="206" spans="1:29" x14ac:dyDescent="0.2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</row>
    <row r="207" spans="1:29" x14ac:dyDescent="0.2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</row>
    <row r="208" spans="1:29" x14ac:dyDescent="0.2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</row>
    <row r="209" spans="1:29" x14ac:dyDescent="0.2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</row>
    <row r="210" spans="1:29" x14ac:dyDescent="0.2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</row>
    <row r="211" spans="1:29" x14ac:dyDescent="0.2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</row>
    <row r="212" spans="1:29" x14ac:dyDescent="0.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</row>
    <row r="213" spans="1:29" x14ac:dyDescent="0.2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</row>
    <row r="214" spans="1:29" x14ac:dyDescent="0.2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</row>
    <row r="215" spans="1:29" x14ac:dyDescent="0.2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</row>
    <row r="216" spans="1:29" x14ac:dyDescent="0.2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</row>
    <row r="217" spans="1:29" x14ac:dyDescent="0.2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</row>
    <row r="218" spans="1:29" x14ac:dyDescent="0.2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</row>
    <row r="219" spans="1:29" x14ac:dyDescent="0.2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</row>
    <row r="220" spans="1:29" x14ac:dyDescent="0.2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</row>
    <row r="221" spans="1:29" x14ac:dyDescent="0.2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</row>
    <row r="222" spans="1:29" x14ac:dyDescent="0.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</row>
    <row r="223" spans="1:29" x14ac:dyDescent="0.2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</row>
    <row r="224" spans="1:29" x14ac:dyDescent="0.2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</row>
    <row r="225" spans="1:29" x14ac:dyDescent="0.2">
      <c r="A225" s="36"/>
      <c r="B225" s="36"/>
      <c r="C225" s="36"/>
      <c r="D225" s="36"/>
      <c r="E225" s="36"/>
      <c r="F225" s="36">
        <v>16</v>
      </c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</row>
    <row r="226" spans="1:29" x14ac:dyDescent="0.2">
      <c r="A226" s="36"/>
      <c r="B226" s="36"/>
      <c r="C226" s="36"/>
      <c r="D226" s="36"/>
      <c r="E226" s="36"/>
      <c r="F226" s="36">
        <v>28</v>
      </c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</row>
    <row r="227" spans="1:29" x14ac:dyDescent="0.2">
      <c r="A227" s="36"/>
      <c r="B227" s="36"/>
      <c r="C227" s="36"/>
      <c r="D227" s="36"/>
      <c r="E227" s="36"/>
      <c r="F227" s="36">
        <v>5</v>
      </c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</row>
    <row r="228" spans="1:29" x14ac:dyDescent="0.2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</row>
    <row r="229" spans="1:29" x14ac:dyDescent="0.2">
      <c r="A229" s="36"/>
      <c r="B229" s="36"/>
      <c r="C229" s="36"/>
      <c r="D229" s="36"/>
      <c r="E229" s="36"/>
      <c r="F229" s="36">
        <v>4</v>
      </c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</row>
    <row r="230" spans="1:29" x14ac:dyDescent="0.2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</row>
    <row r="231" spans="1:29" x14ac:dyDescent="0.2">
      <c r="A231" s="36"/>
      <c r="B231" s="36"/>
      <c r="C231" s="36"/>
      <c r="D231" s="36"/>
      <c r="E231" s="36"/>
      <c r="F231" s="36">
        <v>4</v>
      </c>
      <c r="G231" s="36">
        <v>14</v>
      </c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</row>
    <row r="232" spans="1:29" x14ac:dyDescent="0.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</row>
    <row r="233" spans="1:29" x14ac:dyDescent="0.2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</row>
    <row r="234" spans="1:29" x14ac:dyDescent="0.2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</row>
    <row r="235" spans="1:29" x14ac:dyDescent="0.2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</row>
    <row r="236" spans="1:29" x14ac:dyDescent="0.2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</row>
    <row r="237" spans="1:29" x14ac:dyDescent="0.2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</row>
    <row r="238" spans="1:29" x14ac:dyDescent="0.2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</row>
    <row r="239" spans="1:29" x14ac:dyDescent="0.2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</row>
    <row r="240" spans="1:29" x14ac:dyDescent="0.2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</row>
    <row r="241" spans="1:29" x14ac:dyDescent="0.2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</row>
    <row r="242" spans="1:29" x14ac:dyDescent="0.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</row>
    <row r="243" spans="1:29" x14ac:dyDescent="0.2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</row>
    <row r="244" spans="1:29" x14ac:dyDescent="0.2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</row>
    <row r="245" spans="1:29" x14ac:dyDescent="0.2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</row>
    <row r="246" spans="1:29" x14ac:dyDescent="0.2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</row>
    <row r="247" spans="1:29" x14ac:dyDescent="0.2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</row>
    <row r="248" spans="1:29" x14ac:dyDescent="0.2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</row>
    <row r="249" spans="1:29" x14ac:dyDescent="0.2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</row>
    <row r="250" spans="1:29" x14ac:dyDescent="0.2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</row>
    <row r="251" spans="1:29" x14ac:dyDescent="0.2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</row>
    <row r="252" spans="1:29" x14ac:dyDescent="0.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</row>
    <row r="253" spans="1:29" x14ac:dyDescent="0.2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</row>
    <row r="254" spans="1:29" x14ac:dyDescent="0.2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</row>
    <row r="255" spans="1:29" x14ac:dyDescent="0.2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</row>
    <row r="256" spans="1:29" x14ac:dyDescent="0.2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</row>
    <row r="257" spans="1:29" x14ac:dyDescent="0.2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</row>
    <row r="258" spans="1:29" x14ac:dyDescent="0.2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</row>
    <row r="259" spans="1:29" x14ac:dyDescent="0.2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</row>
    <row r="260" spans="1:29" x14ac:dyDescent="0.2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</row>
    <row r="261" spans="1:29" x14ac:dyDescent="0.2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</row>
    <row r="262" spans="1:29" x14ac:dyDescent="0.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</row>
    <row r="263" spans="1:29" x14ac:dyDescent="0.2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</row>
    <row r="264" spans="1:29" x14ac:dyDescent="0.2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</row>
    <row r="265" spans="1:29" x14ac:dyDescent="0.2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</row>
    <row r="266" spans="1:29" x14ac:dyDescent="0.2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</row>
    <row r="267" spans="1:29" x14ac:dyDescent="0.2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</row>
    <row r="268" spans="1:29" x14ac:dyDescent="0.2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</row>
    <row r="269" spans="1:29" x14ac:dyDescent="0.2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</row>
    <row r="270" spans="1:29" x14ac:dyDescent="0.2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</row>
    <row r="271" spans="1:29" x14ac:dyDescent="0.2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</row>
    <row r="272" spans="1:29" x14ac:dyDescent="0.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</row>
    <row r="273" spans="1:29" x14ac:dyDescent="0.2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</row>
    <row r="274" spans="1:29" x14ac:dyDescent="0.2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</row>
    <row r="275" spans="1:29" x14ac:dyDescent="0.2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</row>
    <row r="276" spans="1:29" x14ac:dyDescent="0.2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</row>
    <row r="277" spans="1:29" x14ac:dyDescent="0.2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</row>
    <row r="278" spans="1:29" x14ac:dyDescent="0.2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</row>
    <row r="279" spans="1:29" x14ac:dyDescent="0.2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</row>
    <row r="280" spans="1:29" x14ac:dyDescent="0.2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</row>
    <row r="281" spans="1:29" x14ac:dyDescent="0.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</row>
    <row r="282" spans="1:29" x14ac:dyDescent="0.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</row>
    <row r="283" spans="1:29" x14ac:dyDescent="0.2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</row>
    <row r="284" spans="1:29" x14ac:dyDescent="0.2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</row>
    <row r="285" spans="1:29" x14ac:dyDescent="0.2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</row>
    <row r="286" spans="1:29" x14ac:dyDescent="0.2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</row>
    <row r="287" spans="1:29" x14ac:dyDescent="0.2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</row>
    <row r="288" spans="1:29" x14ac:dyDescent="0.2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</row>
    <row r="289" spans="1:29" x14ac:dyDescent="0.2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</row>
    <row r="290" spans="1:29" x14ac:dyDescent="0.2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</row>
    <row r="291" spans="1:29" x14ac:dyDescent="0.2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</row>
    <row r="292" spans="1:29" x14ac:dyDescent="0.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</row>
    <row r="293" spans="1:29" x14ac:dyDescent="0.2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</row>
    <row r="294" spans="1:29" x14ac:dyDescent="0.2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</row>
    <row r="295" spans="1:29" x14ac:dyDescent="0.2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</row>
    <row r="296" spans="1:29" x14ac:dyDescent="0.2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</row>
    <row r="297" spans="1:29" x14ac:dyDescent="0.2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</row>
    <row r="298" spans="1:29" x14ac:dyDescent="0.2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</row>
    <row r="299" spans="1:29" x14ac:dyDescent="0.2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</row>
    <row r="300" spans="1:29" x14ac:dyDescent="0.2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</row>
    <row r="301" spans="1:29" x14ac:dyDescent="0.2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</row>
    <row r="302" spans="1:29" x14ac:dyDescent="0.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</row>
    <row r="303" spans="1:29" x14ac:dyDescent="0.2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</row>
    <row r="304" spans="1:29" x14ac:dyDescent="0.2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</row>
    <row r="305" spans="1:29" x14ac:dyDescent="0.2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</row>
    <row r="306" spans="1:29" x14ac:dyDescent="0.2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</row>
    <row r="307" spans="1:29" x14ac:dyDescent="0.2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</row>
    <row r="308" spans="1:29" x14ac:dyDescent="0.2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</row>
    <row r="309" spans="1:29" x14ac:dyDescent="0.2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</row>
    <row r="310" spans="1:29" x14ac:dyDescent="0.2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</row>
    <row r="311" spans="1:29" x14ac:dyDescent="0.2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</row>
    <row r="312" spans="1:29" x14ac:dyDescent="0.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</row>
    <row r="313" spans="1:29" x14ac:dyDescent="0.2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</row>
    <row r="314" spans="1:29" x14ac:dyDescent="0.2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</row>
    <row r="315" spans="1:29" x14ac:dyDescent="0.2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</row>
    <row r="316" spans="1:29" x14ac:dyDescent="0.2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</row>
    <row r="317" spans="1:29" x14ac:dyDescent="0.2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</row>
    <row r="318" spans="1:29" x14ac:dyDescent="0.2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</row>
    <row r="319" spans="1:29" x14ac:dyDescent="0.2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</row>
    <row r="320" spans="1:29" x14ac:dyDescent="0.2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</row>
    <row r="321" spans="1:29" x14ac:dyDescent="0.2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</row>
    <row r="322" spans="1:29" x14ac:dyDescent="0.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</row>
    <row r="323" spans="1:29" x14ac:dyDescent="0.2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</row>
    <row r="324" spans="1:29" x14ac:dyDescent="0.2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</row>
    <row r="325" spans="1:29" x14ac:dyDescent="0.2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</row>
    <row r="326" spans="1:29" x14ac:dyDescent="0.2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</row>
    <row r="327" spans="1:29" x14ac:dyDescent="0.2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</row>
    <row r="328" spans="1:29" x14ac:dyDescent="0.2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</row>
    <row r="329" spans="1:29" x14ac:dyDescent="0.2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</row>
    <row r="330" spans="1:29" x14ac:dyDescent="0.2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</row>
    <row r="331" spans="1:29" x14ac:dyDescent="0.2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</row>
    <row r="332" spans="1:29" x14ac:dyDescent="0.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</row>
    <row r="333" spans="1:29" x14ac:dyDescent="0.2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</row>
    <row r="334" spans="1:29" x14ac:dyDescent="0.2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</row>
    <row r="335" spans="1:29" x14ac:dyDescent="0.2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</row>
    <row r="336" spans="1:29" x14ac:dyDescent="0.2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</row>
    <row r="337" spans="1:29" x14ac:dyDescent="0.2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</row>
    <row r="338" spans="1:29" x14ac:dyDescent="0.2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</row>
    <row r="339" spans="1:29" x14ac:dyDescent="0.2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</row>
    <row r="340" spans="1:29" x14ac:dyDescent="0.2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</row>
    <row r="341" spans="1:29" x14ac:dyDescent="0.2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</row>
    <row r="342" spans="1:29" x14ac:dyDescent="0.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</row>
    <row r="343" spans="1:29" x14ac:dyDescent="0.2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</row>
    <row r="344" spans="1:29" x14ac:dyDescent="0.2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</row>
    <row r="345" spans="1:29" x14ac:dyDescent="0.2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</row>
    <row r="346" spans="1:29" x14ac:dyDescent="0.2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</row>
    <row r="347" spans="1:29" x14ac:dyDescent="0.2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</row>
    <row r="348" spans="1:29" x14ac:dyDescent="0.2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</row>
    <row r="349" spans="1:29" x14ac:dyDescent="0.2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</row>
    <row r="350" spans="1:29" x14ac:dyDescent="0.2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</row>
    <row r="351" spans="1:29" x14ac:dyDescent="0.2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</row>
    <row r="352" spans="1:29" x14ac:dyDescent="0.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</row>
    <row r="353" spans="1:29" x14ac:dyDescent="0.2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</row>
    <row r="354" spans="1:29" x14ac:dyDescent="0.2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</row>
    <row r="355" spans="1:29" x14ac:dyDescent="0.2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</row>
    <row r="356" spans="1:29" x14ac:dyDescent="0.2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</row>
    <row r="357" spans="1:29" x14ac:dyDescent="0.2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</row>
    <row r="358" spans="1:29" x14ac:dyDescent="0.2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</row>
    <row r="359" spans="1:29" x14ac:dyDescent="0.2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</row>
    <row r="360" spans="1:29" x14ac:dyDescent="0.2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</row>
    <row r="361" spans="1:29" x14ac:dyDescent="0.2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</row>
    <row r="362" spans="1:29" x14ac:dyDescent="0.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</row>
    <row r="363" spans="1:29" x14ac:dyDescent="0.2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</row>
    <row r="364" spans="1:29" x14ac:dyDescent="0.2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</row>
    <row r="365" spans="1:29" x14ac:dyDescent="0.2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</row>
    <row r="366" spans="1:29" x14ac:dyDescent="0.2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</row>
    <row r="367" spans="1:29" x14ac:dyDescent="0.2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</row>
    <row r="368" spans="1:29" x14ac:dyDescent="0.2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</row>
    <row r="369" spans="1:29" x14ac:dyDescent="0.2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</row>
    <row r="370" spans="1:29" x14ac:dyDescent="0.2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</row>
    <row r="371" spans="1:29" x14ac:dyDescent="0.2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</row>
    <row r="372" spans="1:29" x14ac:dyDescent="0.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</row>
    <row r="373" spans="1:29" x14ac:dyDescent="0.2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</row>
    <row r="374" spans="1:29" x14ac:dyDescent="0.2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</row>
    <row r="375" spans="1:29" x14ac:dyDescent="0.2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</row>
    <row r="376" spans="1:29" x14ac:dyDescent="0.2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</row>
    <row r="377" spans="1:29" x14ac:dyDescent="0.2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</row>
    <row r="378" spans="1:29" x14ac:dyDescent="0.2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</row>
    <row r="379" spans="1:29" x14ac:dyDescent="0.2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</row>
    <row r="380" spans="1:29" x14ac:dyDescent="0.2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</row>
    <row r="381" spans="1:29" x14ac:dyDescent="0.2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</row>
    <row r="382" spans="1:29" x14ac:dyDescent="0.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</row>
    <row r="383" spans="1:29" x14ac:dyDescent="0.2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</row>
    <row r="384" spans="1:29" x14ac:dyDescent="0.2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</row>
    <row r="385" spans="1:29" x14ac:dyDescent="0.2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</row>
    <row r="386" spans="1:29" x14ac:dyDescent="0.2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</row>
    <row r="387" spans="1:29" x14ac:dyDescent="0.2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</row>
    <row r="388" spans="1:29" x14ac:dyDescent="0.2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</row>
    <row r="389" spans="1:29" x14ac:dyDescent="0.2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</row>
    <row r="390" spans="1:29" x14ac:dyDescent="0.2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</row>
    <row r="391" spans="1:29" x14ac:dyDescent="0.2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</row>
    <row r="392" spans="1:29" x14ac:dyDescent="0.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</row>
    <row r="393" spans="1:29" x14ac:dyDescent="0.2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</row>
    <row r="394" spans="1:29" x14ac:dyDescent="0.2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</row>
    <row r="395" spans="1:29" x14ac:dyDescent="0.2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</row>
    <row r="396" spans="1:29" x14ac:dyDescent="0.2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</row>
    <row r="397" spans="1:29" x14ac:dyDescent="0.2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</row>
    <row r="398" spans="1:29" x14ac:dyDescent="0.2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</row>
    <row r="399" spans="1:29" x14ac:dyDescent="0.2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</row>
    <row r="400" spans="1:29" x14ac:dyDescent="0.2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</row>
    <row r="401" spans="1:29" x14ac:dyDescent="0.2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</row>
    <row r="402" spans="1:29" x14ac:dyDescent="0.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</row>
    <row r="403" spans="1:29" x14ac:dyDescent="0.2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</row>
    <row r="404" spans="1:29" x14ac:dyDescent="0.2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</row>
    <row r="405" spans="1:29" x14ac:dyDescent="0.2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</row>
    <row r="406" spans="1:29" x14ac:dyDescent="0.2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</row>
    <row r="407" spans="1:29" x14ac:dyDescent="0.2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</row>
    <row r="408" spans="1:29" x14ac:dyDescent="0.2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</row>
    <row r="409" spans="1:29" x14ac:dyDescent="0.2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</row>
    <row r="410" spans="1:29" x14ac:dyDescent="0.2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</row>
    <row r="411" spans="1:29" x14ac:dyDescent="0.2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</row>
    <row r="412" spans="1:29" x14ac:dyDescent="0.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</row>
    <row r="413" spans="1:29" x14ac:dyDescent="0.2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</row>
    <row r="414" spans="1:29" x14ac:dyDescent="0.2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</row>
    <row r="415" spans="1:29" x14ac:dyDescent="0.2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</row>
    <row r="416" spans="1:29" x14ac:dyDescent="0.2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</row>
    <row r="417" spans="1:29" x14ac:dyDescent="0.2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</row>
    <row r="418" spans="1:29" x14ac:dyDescent="0.2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</row>
    <row r="419" spans="1:29" x14ac:dyDescent="0.2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</row>
    <row r="420" spans="1:29" x14ac:dyDescent="0.2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</row>
    <row r="421" spans="1:29" x14ac:dyDescent="0.2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</row>
    <row r="422" spans="1:29" x14ac:dyDescent="0.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</row>
    <row r="423" spans="1:29" x14ac:dyDescent="0.2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</row>
    <row r="424" spans="1:29" x14ac:dyDescent="0.2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</row>
    <row r="425" spans="1:29" x14ac:dyDescent="0.2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</row>
    <row r="426" spans="1:29" x14ac:dyDescent="0.2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</row>
    <row r="427" spans="1:29" x14ac:dyDescent="0.2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</row>
    <row r="428" spans="1:29" x14ac:dyDescent="0.2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</row>
    <row r="429" spans="1:29" x14ac:dyDescent="0.2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</row>
    <row r="430" spans="1:29" x14ac:dyDescent="0.2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</row>
    <row r="431" spans="1:29" x14ac:dyDescent="0.2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</row>
    <row r="432" spans="1:29" x14ac:dyDescent="0.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</row>
    <row r="433" spans="1:29" x14ac:dyDescent="0.2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</row>
    <row r="434" spans="1:29" x14ac:dyDescent="0.2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</row>
    <row r="435" spans="1:29" x14ac:dyDescent="0.2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</row>
    <row r="436" spans="1:29" x14ac:dyDescent="0.2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</row>
    <row r="437" spans="1:29" x14ac:dyDescent="0.2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</row>
    <row r="438" spans="1:29" x14ac:dyDescent="0.2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</row>
    <row r="439" spans="1:29" x14ac:dyDescent="0.2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</row>
    <row r="440" spans="1:29" x14ac:dyDescent="0.2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</row>
    <row r="441" spans="1:29" x14ac:dyDescent="0.2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</row>
    <row r="442" spans="1:29" x14ac:dyDescent="0.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</row>
    <row r="443" spans="1:29" x14ac:dyDescent="0.2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</row>
    <row r="444" spans="1:29" x14ac:dyDescent="0.2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</row>
    <row r="445" spans="1:29" x14ac:dyDescent="0.2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</row>
    <row r="446" spans="1:29" x14ac:dyDescent="0.2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</row>
    <row r="447" spans="1:29" x14ac:dyDescent="0.2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</row>
    <row r="448" spans="1:29" x14ac:dyDescent="0.2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</row>
    <row r="449" spans="1:29" x14ac:dyDescent="0.2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</row>
    <row r="450" spans="1:29" x14ac:dyDescent="0.2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</row>
    <row r="451" spans="1:29" x14ac:dyDescent="0.2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</row>
    <row r="452" spans="1:29" x14ac:dyDescent="0.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</row>
    <row r="453" spans="1:29" x14ac:dyDescent="0.2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</row>
    <row r="454" spans="1:29" x14ac:dyDescent="0.2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</row>
    <row r="455" spans="1:29" x14ac:dyDescent="0.2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</row>
    <row r="456" spans="1:29" x14ac:dyDescent="0.2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</row>
    <row r="457" spans="1:29" x14ac:dyDescent="0.2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</row>
    <row r="458" spans="1:29" x14ac:dyDescent="0.2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</row>
    <row r="459" spans="1:29" x14ac:dyDescent="0.2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</row>
    <row r="460" spans="1:29" x14ac:dyDescent="0.2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</row>
    <row r="461" spans="1:29" x14ac:dyDescent="0.2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</row>
    <row r="462" spans="1:29" x14ac:dyDescent="0.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</row>
    <row r="463" spans="1:29" x14ac:dyDescent="0.2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</row>
    <row r="464" spans="1:29" x14ac:dyDescent="0.2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</row>
    <row r="465" spans="1:29" x14ac:dyDescent="0.2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</row>
    <row r="466" spans="1:29" x14ac:dyDescent="0.2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</row>
    <row r="467" spans="1:29" x14ac:dyDescent="0.2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</row>
    <row r="468" spans="1:29" x14ac:dyDescent="0.2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</row>
    <row r="469" spans="1:29" x14ac:dyDescent="0.2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</row>
    <row r="470" spans="1:29" x14ac:dyDescent="0.2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</row>
    <row r="471" spans="1:29" x14ac:dyDescent="0.2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</row>
    <row r="472" spans="1:29" x14ac:dyDescent="0.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</row>
    <row r="473" spans="1:29" x14ac:dyDescent="0.2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</row>
    <row r="474" spans="1:29" x14ac:dyDescent="0.2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</row>
    <row r="475" spans="1:29" x14ac:dyDescent="0.2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</row>
    <row r="476" spans="1:29" x14ac:dyDescent="0.2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</row>
    <row r="477" spans="1:29" x14ac:dyDescent="0.2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</row>
    <row r="478" spans="1:29" x14ac:dyDescent="0.2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</row>
    <row r="479" spans="1:29" x14ac:dyDescent="0.2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</row>
    <row r="480" spans="1:29" x14ac:dyDescent="0.2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</row>
    <row r="481" spans="1:29" x14ac:dyDescent="0.2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</row>
    <row r="482" spans="1:29" x14ac:dyDescent="0.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</row>
    <row r="483" spans="1:29" x14ac:dyDescent="0.2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</row>
    <row r="484" spans="1:29" x14ac:dyDescent="0.2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</row>
    <row r="485" spans="1:29" x14ac:dyDescent="0.2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</row>
    <row r="486" spans="1:29" x14ac:dyDescent="0.2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</row>
    <row r="487" spans="1:29" x14ac:dyDescent="0.2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</row>
    <row r="488" spans="1:29" x14ac:dyDescent="0.2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</row>
    <row r="489" spans="1:29" x14ac:dyDescent="0.2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</row>
    <row r="490" spans="1:29" x14ac:dyDescent="0.2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</row>
    <row r="491" spans="1:29" x14ac:dyDescent="0.2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</row>
    <row r="492" spans="1:29" x14ac:dyDescent="0.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</row>
    <row r="493" spans="1:29" x14ac:dyDescent="0.2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</row>
    <row r="494" spans="1:29" x14ac:dyDescent="0.2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</row>
    <row r="495" spans="1:29" x14ac:dyDescent="0.2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</row>
    <row r="496" spans="1:29" x14ac:dyDescent="0.2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</row>
    <row r="497" spans="1:29" x14ac:dyDescent="0.2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</row>
    <row r="498" spans="1:29" x14ac:dyDescent="0.2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</row>
    <row r="499" spans="1:29" x14ac:dyDescent="0.2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</row>
    <row r="500" spans="1:29" x14ac:dyDescent="0.2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</row>
    <row r="501" spans="1:29" x14ac:dyDescent="0.2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</row>
    <row r="502" spans="1:29" x14ac:dyDescent="0.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</row>
    <row r="503" spans="1:29" x14ac:dyDescent="0.2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</row>
    <row r="504" spans="1:29" x14ac:dyDescent="0.2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</row>
    <row r="505" spans="1:29" x14ac:dyDescent="0.2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</row>
    <row r="506" spans="1:29" x14ac:dyDescent="0.2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</row>
    <row r="507" spans="1:29" x14ac:dyDescent="0.2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</row>
    <row r="508" spans="1:29" x14ac:dyDescent="0.2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</row>
    <row r="509" spans="1:29" x14ac:dyDescent="0.2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</row>
    <row r="510" spans="1:29" x14ac:dyDescent="0.2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</row>
    <row r="511" spans="1:29" x14ac:dyDescent="0.2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</row>
    <row r="512" spans="1:29" x14ac:dyDescent="0.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</row>
    <row r="513" spans="1:29" x14ac:dyDescent="0.2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</row>
    <row r="514" spans="1:29" x14ac:dyDescent="0.2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</row>
    <row r="515" spans="1:29" x14ac:dyDescent="0.2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</row>
    <row r="516" spans="1:29" x14ac:dyDescent="0.2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</row>
    <row r="517" spans="1:29" x14ac:dyDescent="0.2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</row>
    <row r="518" spans="1:29" x14ac:dyDescent="0.2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</row>
    <row r="519" spans="1:29" x14ac:dyDescent="0.2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</row>
    <row r="520" spans="1:29" x14ac:dyDescent="0.2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</row>
    <row r="521" spans="1:29" x14ac:dyDescent="0.2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</row>
    <row r="522" spans="1:29" x14ac:dyDescent="0.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</row>
    <row r="523" spans="1:29" x14ac:dyDescent="0.2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</row>
    <row r="524" spans="1:29" x14ac:dyDescent="0.2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</row>
    <row r="525" spans="1:29" x14ac:dyDescent="0.2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</row>
    <row r="526" spans="1:29" x14ac:dyDescent="0.2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</row>
    <row r="527" spans="1:29" x14ac:dyDescent="0.2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</row>
    <row r="528" spans="1:29" x14ac:dyDescent="0.2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</row>
    <row r="529" spans="1:29" x14ac:dyDescent="0.2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</row>
    <row r="530" spans="1:29" x14ac:dyDescent="0.2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</row>
    <row r="531" spans="1:29" x14ac:dyDescent="0.2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</row>
    <row r="532" spans="1:29" x14ac:dyDescent="0.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</row>
    <row r="533" spans="1:29" x14ac:dyDescent="0.2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</row>
    <row r="534" spans="1:29" x14ac:dyDescent="0.2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</row>
    <row r="535" spans="1:29" x14ac:dyDescent="0.2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</row>
    <row r="536" spans="1:29" x14ac:dyDescent="0.2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</row>
    <row r="537" spans="1:29" x14ac:dyDescent="0.2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</row>
    <row r="538" spans="1:29" x14ac:dyDescent="0.2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</row>
    <row r="539" spans="1:29" x14ac:dyDescent="0.2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</row>
    <row r="540" spans="1:29" x14ac:dyDescent="0.2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</row>
    <row r="541" spans="1:29" x14ac:dyDescent="0.2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</row>
    <row r="542" spans="1:29" x14ac:dyDescent="0.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</row>
    <row r="543" spans="1:29" x14ac:dyDescent="0.2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</row>
    <row r="544" spans="1:29" x14ac:dyDescent="0.2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</row>
    <row r="545" spans="1:29" x14ac:dyDescent="0.2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</row>
    <row r="546" spans="1:29" x14ac:dyDescent="0.2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</row>
    <row r="547" spans="1:29" x14ac:dyDescent="0.2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</row>
    <row r="548" spans="1:29" x14ac:dyDescent="0.2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</row>
    <row r="549" spans="1:29" x14ac:dyDescent="0.2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</row>
    <row r="550" spans="1:29" x14ac:dyDescent="0.2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</row>
    <row r="551" spans="1:29" x14ac:dyDescent="0.2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</row>
    <row r="552" spans="1:29" x14ac:dyDescent="0.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</row>
    <row r="553" spans="1:29" x14ac:dyDescent="0.2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</row>
    <row r="554" spans="1:29" x14ac:dyDescent="0.2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</row>
    <row r="555" spans="1:29" x14ac:dyDescent="0.2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</row>
    <row r="556" spans="1:29" x14ac:dyDescent="0.2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</row>
    <row r="557" spans="1:29" x14ac:dyDescent="0.2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</row>
    <row r="558" spans="1:29" x14ac:dyDescent="0.2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</row>
    <row r="559" spans="1:29" x14ac:dyDescent="0.2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</row>
    <row r="560" spans="1:29" x14ac:dyDescent="0.2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</row>
    <row r="561" spans="1:29" x14ac:dyDescent="0.2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</row>
    <row r="562" spans="1:29" x14ac:dyDescent="0.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</row>
    <row r="563" spans="1:29" x14ac:dyDescent="0.2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</row>
    <row r="564" spans="1:29" x14ac:dyDescent="0.2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</row>
    <row r="565" spans="1:29" x14ac:dyDescent="0.2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</row>
    <row r="566" spans="1:29" x14ac:dyDescent="0.2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</row>
    <row r="567" spans="1:29" x14ac:dyDescent="0.2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</row>
    <row r="568" spans="1:29" x14ac:dyDescent="0.2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</row>
    <row r="569" spans="1:29" x14ac:dyDescent="0.2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</row>
    <row r="570" spans="1:29" x14ac:dyDescent="0.2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</row>
    <row r="571" spans="1:29" x14ac:dyDescent="0.2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</row>
    <row r="572" spans="1:29" x14ac:dyDescent="0.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</row>
    <row r="573" spans="1:29" x14ac:dyDescent="0.2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</row>
    <row r="574" spans="1:29" x14ac:dyDescent="0.2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</row>
    <row r="575" spans="1:29" x14ac:dyDescent="0.2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</row>
    <row r="576" spans="1:29" x14ac:dyDescent="0.2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</row>
    <row r="577" spans="1:29" x14ac:dyDescent="0.2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</row>
    <row r="578" spans="1:29" x14ac:dyDescent="0.2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</row>
    <row r="579" spans="1:29" x14ac:dyDescent="0.2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</row>
    <row r="580" spans="1:29" x14ac:dyDescent="0.2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</row>
    <row r="581" spans="1:29" x14ac:dyDescent="0.2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</row>
    <row r="582" spans="1:29" x14ac:dyDescent="0.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</row>
    <row r="583" spans="1:29" x14ac:dyDescent="0.2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</row>
    <row r="584" spans="1:29" x14ac:dyDescent="0.2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</row>
    <row r="585" spans="1:29" x14ac:dyDescent="0.2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</row>
    <row r="586" spans="1:29" x14ac:dyDescent="0.2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</row>
    <row r="587" spans="1:29" x14ac:dyDescent="0.2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</row>
    <row r="588" spans="1:29" x14ac:dyDescent="0.2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</row>
    <row r="589" spans="1:29" x14ac:dyDescent="0.2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</row>
    <row r="590" spans="1:29" x14ac:dyDescent="0.2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</row>
    <row r="591" spans="1:29" x14ac:dyDescent="0.2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</row>
    <row r="592" spans="1:29" x14ac:dyDescent="0.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</row>
    <row r="593" spans="1:29" x14ac:dyDescent="0.2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</row>
    <row r="594" spans="1:29" x14ac:dyDescent="0.2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</row>
    <row r="595" spans="1:29" x14ac:dyDescent="0.2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</row>
    <row r="596" spans="1:29" x14ac:dyDescent="0.2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</row>
    <row r="597" spans="1:29" x14ac:dyDescent="0.2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</row>
    <row r="598" spans="1:29" x14ac:dyDescent="0.2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</row>
    <row r="599" spans="1:29" x14ac:dyDescent="0.2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</row>
    <row r="600" spans="1:29" x14ac:dyDescent="0.2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</row>
    <row r="601" spans="1:29" x14ac:dyDescent="0.2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</row>
    <row r="602" spans="1:29" x14ac:dyDescent="0.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</row>
    <row r="603" spans="1:29" x14ac:dyDescent="0.2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</row>
    <row r="604" spans="1:29" x14ac:dyDescent="0.2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</row>
    <row r="605" spans="1:29" x14ac:dyDescent="0.2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</row>
    <row r="606" spans="1:29" x14ac:dyDescent="0.2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</row>
    <row r="607" spans="1:29" x14ac:dyDescent="0.2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</row>
    <row r="608" spans="1:29" x14ac:dyDescent="0.2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</row>
    <row r="609" spans="1:29" x14ac:dyDescent="0.2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</row>
    <row r="610" spans="1:29" x14ac:dyDescent="0.2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</row>
    <row r="611" spans="1:29" x14ac:dyDescent="0.2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</row>
    <row r="612" spans="1:29" x14ac:dyDescent="0.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</row>
    <row r="613" spans="1:29" x14ac:dyDescent="0.2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</row>
    <row r="614" spans="1:29" x14ac:dyDescent="0.2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</row>
    <row r="615" spans="1:29" x14ac:dyDescent="0.2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</row>
    <row r="616" spans="1:29" x14ac:dyDescent="0.2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</row>
    <row r="617" spans="1:29" x14ac:dyDescent="0.2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</row>
    <row r="618" spans="1:29" x14ac:dyDescent="0.2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</row>
    <row r="619" spans="1:29" x14ac:dyDescent="0.2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</row>
    <row r="620" spans="1:29" x14ac:dyDescent="0.2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</row>
    <row r="621" spans="1:29" x14ac:dyDescent="0.2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</row>
    <row r="622" spans="1:29" x14ac:dyDescent="0.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</row>
    <row r="623" spans="1:29" x14ac:dyDescent="0.2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</row>
    <row r="624" spans="1:29" x14ac:dyDescent="0.2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</row>
    <row r="625" spans="1:29" x14ac:dyDescent="0.2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</row>
    <row r="626" spans="1:29" x14ac:dyDescent="0.2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</row>
    <row r="627" spans="1:29" x14ac:dyDescent="0.2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</row>
    <row r="628" spans="1:29" x14ac:dyDescent="0.2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</row>
    <row r="629" spans="1:29" x14ac:dyDescent="0.2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</row>
    <row r="630" spans="1:29" x14ac:dyDescent="0.2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</row>
    <row r="631" spans="1:29" x14ac:dyDescent="0.2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</row>
    <row r="632" spans="1:29" x14ac:dyDescent="0.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</row>
    <row r="633" spans="1:29" x14ac:dyDescent="0.2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</row>
    <row r="634" spans="1:29" x14ac:dyDescent="0.2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</row>
    <row r="635" spans="1:29" x14ac:dyDescent="0.2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</row>
    <row r="636" spans="1:29" x14ac:dyDescent="0.2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</row>
    <row r="637" spans="1:29" x14ac:dyDescent="0.2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</row>
    <row r="638" spans="1:29" x14ac:dyDescent="0.2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</row>
    <row r="639" spans="1:29" x14ac:dyDescent="0.2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</row>
    <row r="640" spans="1:29" x14ac:dyDescent="0.2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</row>
    <row r="641" spans="1:29" x14ac:dyDescent="0.2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</row>
    <row r="642" spans="1:29" x14ac:dyDescent="0.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</row>
    <row r="643" spans="1:29" x14ac:dyDescent="0.2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</row>
    <row r="644" spans="1:29" x14ac:dyDescent="0.2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</row>
    <row r="645" spans="1:29" x14ac:dyDescent="0.2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</row>
    <row r="646" spans="1:29" x14ac:dyDescent="0.2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</row>
    <row r="647" spans="1:29" x14ac:dyDescent="0.2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</row>
    <row r="648" spans="1:29" x14ac:dyDescent="0.2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</row>
    <row r="649" spans="1:29" x14ac:dyDescent="0.2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</row>
    <row r="650" spans="1:29" x14ac:dyDescent="0.2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</row>
    <row r="651" spans="1:29" x14ac:dyDescent="0.2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</row>
    <row r="652" spans="1:29" x14ac:dyDescent="0.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</row>
    <row r="653" spans="1:29" x14ac:dyDescent="0.2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</row>
    <row r="654" spans="1:29" x14ac:dyDescent="0.2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</row>
    <row r="655" spans="1:29" x14ac:dyDescent="0.2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</row>
    <row r="656" spans="1:29" x14ac:dyDescent="0.2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</row>
    <row r="657" spans="1:29" x14ac:dyDescent="0.2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</row>
    <row r="658" spans="1:29" x14ac:dyDescent="0.2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</row>
    <row r="659" spans="1:29" x14ac:dyDescent="0.2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</row>
    <row r="660" spans="1:29" x14ac:dyDescent="0.2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</row>
    <row r="661" spans="1:29" x14ac:dyDescent="0.2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</row>
    <row r="662" spans="1:29" x14ac:dyDescent="0.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</row>
    <row r="663" spans="1:29" x14ac:dyDescent="0.2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</row>
    <row r="664" spans="1:29" x14ac:dyDescent="0.2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</row>
    <row r="665" spans="1:29" x14ac:dyDescent="0.2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</row>
    <row r="666" spans="1:29" x14ac:dyDescent="0.2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</row>
    <row r="667" spans="1:29" x14ac:dyDescent="0.2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</row>
    <row r="668" spans="1:29" x14ac:dyDescent="0.2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</row>
    <row r="669" spans="1:29" x14ac:dyDescent="0.2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</row>
    <row r="670" spans="1:29" x14ac:dyDescent="0.2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</row>
    <row r="671" spans="1:29" x14ac:dyDescent="0.2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</row>
    <row r="672" spans="1:29" x14ac:dyDescent="0.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</row>
    <row r="673" spans="1:29" x14ac:dyDescent="0.2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</row>
    <row r="674" spans="1:29" x14ac:dyDescent="0.2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</row>
    <row r="675" spans="1:29" x14ac:dyDescent="0.2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</row>
    <row r="676" spans="1:29" x14ac:dyDescent="0.2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</row>
    <row r="677" spans="1:29" x14ac:dyDescent="0.2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</row>
    <row r="678" spans="1:29" x14ac:dyDescent="0.2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</row>
    <row r="679" spans="1:29" x14ac:dyDescent="0.2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</row>
    <row r="680" spans="1:29" x14ac:dyDescent="0.2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</row>
    <row r="681" spans="1:29" x14ac:dyDescent="0.2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</row>
    <row r="682" spans="1:29" x14ac:dyDescent="0.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</row>
    <row r="683" spans="1:29" x14ac:dyDescent="0.2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</row>
    <row r="684" spans="1:29" x14ac:dyDescent="0.2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</row>
    <row r="685" spans="1:29" x14ac:dyDescent="0.2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</row>
    <row r="686" spans="1:29" x14ac:dyDescent="0.2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</row>
    <row r="687" spans="1:29" x14ac:dyDescent="0.2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</row>
    <row r="688" spans="1:29" x14ac:dyDescent="0.2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</row>
    <row r="689" spans="1:29" x14ac:dyDescent="0.2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</row>
    <row r="690" spans="1:29" x14ac:dyDescent="0.2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</row>
    <row r="691" spans="1:29" x14ac:dyDescent="0.2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</row>
    <row r="692" spans="1:29" x14ac:dyDescent="0.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</row>
    <row r="693" spans="1:29" x14ac:dyDescent="0.2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</row>
    <row r="694" spans="1:29" x14ac:dyDescent="0.2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</row>
    <row r="695" spans="1:29" x14ac:dyDescent="0.2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</row>
    <row r="696" spans="1:29" x14ac:dyDescent="0.2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</row>
    <row r="697" spans="1:29" x14ac:dyDescent="0.2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</row>
    <row r="698" spans="1:29" x14ac:dyDescent="0.2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</row>
    <row r="699" spans="1:29" x14ac:dyDescent="0.2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</row>
    <row r="700" spans="1:29" x14ac:dyDescent="0.2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</row>
    <row r="701" spans="1:29" x14ac:dyDescent="0.2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</row>
    <row r="702" spans="1:29" x14ac:dyDescent="0.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</row>
    <row r="703" spans="1:29" x14ac:dyDescent="0.2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</row>
    <row r="704" spans="1:29" x14ac:dyDescent="0.2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</row>
    <row r="705" spans="1:29" x14ac:dyDescent="0.2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</row>
    <row r="706" spans="1:29" x14ac:dyDescent="0.2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</row>
    <row r="707" spans="1:29" x14ac:dyDescent="0.2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</row>
    <row r="708" spans="1:29" x14ac:dyDescent="0.2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</row>
    <row r="709" spans="1:29" x14ac:dyDescent="0.2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</row>
    <row r="710" spans="1:29" x14ac:dyDescent="0.2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</row>
    <row r="711" spans="1:29" x14ac:dyDescent="0.2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</row>
    <row r="712" spans="1:29" x14ac:dyDescent="0.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</row>
    <row r="713" spans="1:29" x14ac:dyDescent="0.2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</row>
    <row r="714" spans="1:29" x14ac:dyDescent="0.2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</row>
    <row r="715" spans="1:29" x14ac:dyDescent="0.2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</row>
    <row r="716" spans="1:29" x14ac:dyDescent="0.2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</row>
    <row r="717" spans="1:29" x14ac:dyDescent="0.2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</row>
    <row r="718" spans="1:29" x14ac:dyDescent="0.2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</row>
    <row r="719" spans="1:29" x14ac:dyDescent="0.2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</row>
    <row r="720" spans="1:29" x14ac:dyDescent="0.2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</row>
    <row r="721" spans="1:29" x14ac:dyDescent="0.2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</row>
    <row r="722" spans="1:29" x14ac:dyDescent="0.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</row>
    <row r="723" spans="1:29" x14ac:dyDescent="0.2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</row>
    <row r="724" spans="1:29" x14ac:dyDescent="0.2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</row>
    <row r="725" spans="1:29" x14ac:dyDescent="0.2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</row>
    <row r="726" spans="1:29" x14ac:dyDescent="0.2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</row>
    <row r="727" spans="1:29" x14ac:dyDescent="0.2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</row>
    <row r="728" spans="1:29" x14ac:dyDescent="0.2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</row>
    <row r="729" spans="1:29" x14ac:dyDescent="0.2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</row>
    <row r="730" spans="1:29" x14ac:dyDescent="0.2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</row>
    <row r="731" spans="1:29" x14ac:dyDescent="0.2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</row>
    <row r="732" spans="1:29" x14ac:dyDescent="0.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</row>
    <row r="733" spans="1:29" x14ac:dyDescent="0.2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</row>
    <row r="734" spans="1:29" x14ac:dyDescent="0.2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</row>
    <row r="735" spans="1:29" x14ac:dyDescent="0.2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</row>
    <row r="736" spans="1:29" x14ac:dyDescent="0.2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</row>
    <row r="737" spans="1:29" x14ac:dyDescent="0.2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</row>
    <row r="738" spans="1:29" x14ac:dyDescent="0.2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</row>
    <row r="739" spans="1:29" x14ac:dyDescent="0.2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</row>
    <row r="740" spans="1:29" x14ac:dyDescent="0.2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</row>
    <row r="741" spans="1:29" x14ac:dyDescent="0.2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</row>
    <row r="742" spans="1:29" x14ac:dyDescent="0.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</row>
    <row r="743" spans="1:29" x14ac:dyDescent="0.2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</row>
    <row r="744" spans="1:29" x14ac:dyDescent="0.2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</row>
    <row r="745" spans="1:29" x14ac:dyDescent="0.2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</row>
    <row r="746" spans="1:29" x14ac:dyDescent="0.2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</row>
    <row r="747" spans="1:29" x14ac:dyDescent="0.2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</row>
    <row r="748" spans="1:29" x14ac:dyDescent="0.2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</row>
    <row r="749" spans="1:29" x14ac:dyDescent="0.2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</row>
    <row r="750" spans="1:29" x14ac:dyDescent="0.2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</row>
    <row r="751" spans="1:29" x14ac:dyDescent="0.2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</row>
    <row r="752" spans="1:29" x14ac:dyDescent="0.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</row>
    <row r="753" spans="1:29" x14ac:dyDescent="0.2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</row>
    <row r="754" spans="1:29" x14ac:dyDescent="0.2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</row>
    <row r="755" spans="1:29" x14ac:dyDescent="0.2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</row>
    <row r="756" spans="1:29" x14ac:dyDescent="0.2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</row>
    <row r="757" spans="1:29" x14ac:dyDescent="0.2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</row>
    <row r="758" spans="1:29" x14ac:dyDescent="0.2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</row>
    <row r="759" spans="1:29" x14ac:dyDescent="0.2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</row>
    <row r="760" spans="1:29" x14ac:dyDescent="0.2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</row>
    <row r="761" spans="1:29" x14ac:dyDescent="0.2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</row>
    <row r="762" spans="1:29" x14ac:dyDescent="0.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</row>
    <row r="763" spans="1:29" x14ac:dyDescent="0.2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</row>
    <row r="764" spans="1:29" x14ac:dyDescent="0.2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</row>
    <row r="765" spans="1:29" x14ac:dyDescent="0.2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</row>
    <row r="766" spans="1:29" x14ac:dyDescent="0.2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</row>
    <row r="767" spans="1:29" x14ac:dyDescent="0.2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</row>
    <row r="768" spans="1:29" x14ac:dyDescent="0.2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</row>
    <row r="769" spans="1:29" x14ac:dyDescent="0.2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</row>
    <row r="770" spans="1:29" x14ac:dyDescent="0.2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</row>
    <row r="771" spans="1:29" x14ac:dyDescent="0.2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</row>
    <row r="772" spans="1:29" x14ac:dyDescent="0.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</row>
    <row r="773" spans="1:29" x14ac:dyDescent="0.2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</row>
    <row r="774" spans="1:29" x14ac:dyDescent="0.2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</row>
    <row r="775" spans="1:29" x14ac:dyDescent="0.2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</row>
    <row r="776" spans="1:29" x14ac:dyDescent="0.2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</row>
    <row r="777" spans="1:29" x14ac:dyDescent="0.2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</row>
    <row r="778" spans="1:29" x14ac:dyDescent="0.2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</row>
    <row r="779" spans="1:29" x14ac:dyDescent="0.2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</row>
    <row r="780" spans="1:29" x14ac:dyDescent="0.2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</row>
    <row r="781" spans="1:29" x14ac:dyDescent="0.2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</row>
    <row r="782" spans="1:29" x14ac:dyDescent="0.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</row>
    <row r="783" spans="1:29" x14ac:dyDescent="0.2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</row>
    <row r="784" spans="1:29" x14ac:dyDescent="0.2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</row>
    <row r="785" spans="1:29" x14ac:dyDescent="0.2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</row>
    <row r="786" spans="1:29" x14ac:dyDescent="0.2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</row>
    <row r="787" spans="1:29" x14ac:dyDescent="0.2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</row>
    <row r="788" spans="1:29" x14ac:dyDescent="0.2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</row>
    <row r="789" spans="1:29" x14ac:dyDescent="0.2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</row>
    <row r="790" spans="1:29" x14ac:dyDescent="0.2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</row>
    <row r="791" spans="1:29" x14ac:dyDescent="0.2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</row>
    <row r="792" spans="1:29" x14ac:dyDescent="0.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</row>
    <row r="793" spans="1:29" x14ac:dyDescent="0.2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</row>
    <row r="794" spans="1:29" x14ac:dyDescent="0.2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</row>
    <row r="795" spans="1:29" x14ac:dyDescent="0.2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</row>
    <row r="796" spans="1:29" x14ac:dyDescent="0.2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</row>
    <row r="797" spans="1:29" x14ac:dyDescent="0.2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</row>
    <row r="798" spans="1:29" x14ac:dyDescent="0.2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</row>
    <row r="799" spans="1:29" x14ac:dyDescent="0.2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</row>
    <row r="800" spans="1:29" x14ac:dyDescent="0.2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</row>
    <row r="801" spans="1:29" x14ac:dyDescent="0.2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</row>
    <row r="802" spans="1:29" x14ac:dyDescent="0.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</row>
    <row r="803" spans="1:29" x14ac:dyDescent="0.2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</row>
    <row r="804" spans="1:29" x14ac:dyDescent="0.2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</row>
    <row r="805" spans="1:29" x14ac:dyDescent="0.2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</row>
    <row r="806" spans="1:29" x14ac:dyDescent="0.2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</row>
    <row r="807" spans="1:29" x14ac:dyDescent="0.2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</row>
    <row r="808" spans="1:29" x14ac:dyDescent="0.2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</row>
    <row r="809" spans="1:29" x14ac:dyDescent="0.2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</row>
    <row r="810" spans="1:29" x14ac:dyDescent="0.2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</row>
    <row r="811" spans="1:29" x14ac:dyDescent="0.2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</row>
    <row r="812" spans="1:29" x14ac:dyDescent="0.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</row>
    <row r="813" spans="1:29" x14ac:dyDescent="0.2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</row>
    <row r="814" spans="1:29" x14ac:dyDescent="0.2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</row>
    <row r="815" spans="1:29" x14ac:dyDescent="0.2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</row>
    <row r="816" spans="1:29" x14ac:dyDescent="0.2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</row>
    <row r="817" spans="1:29" x14ac:dyDescent="0.2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</row>
    <row r="818" spans="1:29" x14ac:dyDescent="0.2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</row>
    <row r="819" spans="1:29" x14ac:dyDescent="0.2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</row>
    <row r="820" spans="1:29" x14ac:dyDescent="0.2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</row>
    <row r="821" spans="1:29" x14ac:dyDescent="0.2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</row>
    <row r="822" spans="1:29" x14ac:dyDescent="0.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</row>
    <row r="823" spans="1:29" x14ac:dyDescent="0.2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</row>
    <row r="824" spans="1:29" x14ac:dyDescent="0.2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</row>
    <row r="825" spans="1:29" x14ac:dyDescent="0.2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</row>
    <row r="826" spans="1:29" x14ac:dyDescent="0.2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</row>
    <row r="827" spans="1:29" x14ac:dyDescent="0.2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</row>
    <row r="828" spans="1:29" x14ac:dyDescent="0.2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</row>
    <row r="829" spans="1:29" x14ac:dyDescent="0.2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</row>
    <row r="830" spans="1:29" x14ac:dyDescent="0.2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</row>
    <row r="831" spans="1:29" x14ac:dyDescent="0.2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</row>
    <row r="832" spans="1:29" x14ac:dyDescent="0.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</row>
    <row r="833" spans="1:29" x14ac:dyDescent="0.2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</row>
    <row r="834" spans="1:29" x14ac:dyDescent="0.2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</row>
    <row r="835" spans="1:29" x14ac:dyDescent="0.2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</row>
    <row r="836" spans="1:29" x14ac:dyDescent="0.2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</row>
    <row r="837" spans="1:29" x14ac:dyDescent="0.2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</row>
    <row r="838" spans="1:29" x14ac:dyDescent="0.2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</row>
    <row r="839" spans="1:29" x14ac:dyDescent="0.2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</row>
    <row r="840" spans="1:29" x14ac:dyDescent="0.2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</row>
    <row r="841" spans="1:29" x14ac:dyDescent="0.2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</row>
    <row r="842" spans="1:29" x14ac:dyDescent="0.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</row>
    <row r="843" spans="1:29" x14ac:dyDescent="0.2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</row>
    <row r="844" spans="1:29" x14ac:dyDescent="0.2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</row>
    <row r="845" spans="1:29" x14ac:dyDescent="0.2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</row>
    <row r="846" spans="1:29" x14ac:dyDescent="0.2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</row>
    <row r="847" spans="1:29" x14ac:dyDescent="0.2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</row>
    <row r="848" spans="1:29" x14ac:dyDescent="0.2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</row>
    <row r="849" spans="1:29" x14ac:dyDescent="0.2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</row>
    <row r="850" spans="1:29" x14ac:dyDescent="0.2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</row>
    <row r="851" spans="1:29" x14ac:dyDescent="0.2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</row>
    <row r="852" spans="1:29" x14ac:dyDescent="0.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</row>
    <row r="853" spans="1:29" x14ac:dyDescent="0.2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</row>
    <row r="854" spans="1:29" x14ac:dyDescent="0.2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</row>
    <row r="855" spans="1:29" x14ac:dyDescent="0.2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</row>
    <row r="856" spans="1:29" x14ac:dyDescent="0.2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</row>
    <row r="857" spans="1:29" x14ac:dyDescent="0.2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</row>
    <row r="858" spans="1:29" x14ac:dyDescent="0.2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</row>
    <row r="859" spans="1:29" x14ac:dyDescent="0.2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</row>
    <row r="860" spans="1:29" x14ac:dyDescent="0.2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</row>
    <row r="861" spans="1:29" x14ac:dyDescent="0.2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</row>
    <row r="862" spans="1:29" x14ac:dyDescent="0.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</row>
    <row r="863" spans="1:29" x14ac:dyDescent="0.2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</row>
    <row r="864" spans="1:29" x14ac:dyDescent="0.2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</row>
    <row r="865" spans="1:29" x14ac:dyDescent="0.2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</row>
    <row r="866" spans="1:29" x14ac:dyDescent="0.2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</row>
    <row r="867" spans="1:29" x14ac:dyDescent="0.2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</row>
    <row r="868" spans="1:29" x14ac:dyDescent="0.2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</row>
    <row r="869" spans="1:29" x14ac:dyDescent="0.2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</row>
    <row r="870" spans="1:29" x14ac:dyDescent="0.2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</row>
    <row r="871" spans="1:29" x14ac:dyDescent="0.2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</row>
    <row r="872" spans="1:29" x14ac:dyDescent="0.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</row>
    <row r="873" spans="1:29" x14ac:dyDescent="0.2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</row>
    <row r="874" spans="1:29" x14ac:dyDescent="0.2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</row>
    <row r="875" spans="1:29" x14ac:dyDescent="0.2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</row>
    <row r="876" spans="1:29" x14ac:dyDescent="0.2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</row>
    <row r="877" spans="1:29" x14ac:dyDescent="0.2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</row>
    <row r="878" spans="1:29" x14ac:dyDescent="0.2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</row>
    <row r="879" spans="1:29" x14ac:dyDescent="0.2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</row>
    <row r="880" spans="1:29" x14ac:dyDescent="0.2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</row>
    <row r="881" spans="1:29" x14ac:dyDescent="0.2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</row>
    <row r="882" spans="1:29" x14ac:dyDescent="0.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</row>
    <row r="883" spans="1:29" x14ac:dyDescent="0.2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</row>
    <row r="884" spans="1:29" x14ac:dyDescent="0.2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</row>
    <row r="885" spans="1:29" x14ac:dyDescent="0.2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</row>
    <row r="886" spans="1:29" x14ac:dyDescent="0.2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</row>
    <row r="887" spans="1:29" x14ac:dyDescent="0.2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</row>
    <row r="888" spans="1:29" x14ac:dyDescent="0.2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</row>
    <row r="889" spans="1:29" x14ac:dyDescent="0.2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</row>
    <row r="890" spans="1:29" x14ac:dyDescent="0.2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</row>
    <row r="891" spans="1:29" x14ac:dyDescent="0.2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</row>
    <row r="892" spans="1:29" x14ac:dyDescent="0.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</row>
    <row r="893" spans="1:29" x14ac:dyDescent="0.2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</row>
    <row r="894" spans="1:29" x14ac:dyDescent="0.2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</row>
    <row r="895" spans="1:29" x14ac:dyDescent="0.2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</row>
    <row r="896" spans="1:29" x14ac:dyDescent="0.2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</row>
    <row r="897" spans="1:29" x14ac:dyDescent="0.2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</row>
    <row r="898" spans="1:29" x14ac:dyDescent="0.2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</row>
    <row r="899" spans="1:29" x14ac:dyDescent="0.2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</row>
    <row r="900" spans="1:29" x14ac:dyDescent="0.2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</row>
    <row r="901" spans="1:29" x14ac:dyDescent="0.2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</row>
    <row r="902" spans="1:29" x14ac:dyDescent="0.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</row>
    <row r="903" spans="1:29" x14ac:dyDescent="0.2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</row>
    <row r="904" spans="1:29" x14ac:dyDescent="0.2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</row>
    <row r="905" spans="1:29" x14ac:dyDescent="0.2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</row>
    <row r="906" spans="1:29" x14ac:dyDescent="0.2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</row>
    <row r="907" spans="1:29" x14ac:dyDescent="0.2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</row>
    <row r="908" spans="1:29" x14ac:dyDescent="0.2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</row>
    <row r="909" spans="1:29" x14ac:dyDescent="0.2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</row>
    <row r="910" spans="1:29" x14ac:dyDescent="0.2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</row>
    <row r="911" spans="1:29" x14ac:dyDescent="0.2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</row>
    <row r="912" spans="1:29" x14ac:dyDescent="0.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</row>
    <row r="913" spans="1:29" x14ac:dyDescent="0.2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</row>
    <row r="914" spans="1:29" x14ac:dyDescent="0.2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</row>
    <row r="915" spans="1:29" x14ac:dyDescent="0.2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</row>
    <row r="916" spans="1:29" x14ac:dyDescent="0.2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</row>
    <row r="917" spans="1:29" x14ac:dyDescent="0.2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</row>
    <row r="918" spans="1:29" x14ac:dyDescent="0.2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</row>
    <row r="919" spans="1:29" x14ac:dyDescent="0.2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</row>
    <row r="920" spans="1:29" x14ac:dyDescent="0.2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</row>
    <row r="921" spans="1:29" x14ac:dyDescent="0.2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</row>
    <row r="922" spans="1:29" x14ac:dyDescent="0.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</row>
    <row r="923" spans="1:29" x14ac:dyDescent="0.2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</row>
    <row r="924" spans="1:29" x14ac:dyDescent="0.2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</row>
    <row r="925" spans="1:29" x14ac:dyDescent="0.2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</row>
    <row r="926" spans="1:29" x14ac:dyDescent="0.2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</row>
    <row r="927" spans="1:29" x14ac:dyDescent="0.2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</row>
    <row r="928" spans="1:29" x14ac:dyDescent="0.2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</row>
    <row r="929" spans="1:29" x14ac:dyDescent="0.2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</row>
    <row r="930" spans="1:29" x14ac:dyDescent="0.2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</row>
    <row r="931" spans="1:29" x14ac:dyDescent="0.2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</row>
    <row r="932" spans="1:29" x14ac:dyDescent="0.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</row>
    <row r="933" spans="1:29" x14ac:dyDescent="0.2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</row>
    <row r="934" spans="1:29" x14ac:dyDescent="0.2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</row>
    <row r="935" spans="1:29" x14ac:dyDescent="0.2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</row>
    <row r="936" spans="1:29" x14ac:dyDescent="0.2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</row>
    <row r="937" spans="1:29" x14ac:dyDescent="0.2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</row>
    <row r="938" spans="1:29" x14ac:dyDescent="0.2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</row>
    <row r="939" spans="1:29" x14ac:dyDescent="0.2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</row>
    <row r="940" spans="1:29" x14ac:dyDescent="0.2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</row>
    <row r="941" spans="1:29" x14ac:dyDescent="0.2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</row>
    <row r="942" spans="1:29" x14ac:dyDescent="0.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</row>
    <row r="943" spans="1:29" x14ac:dyDescent="0.2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</row>
    <row r="944" spans="1:29" x14ac:dyDescent="0.2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</row>
    <row r="945" spans="1:29" x14ac:dyDescent="0.2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</row>
    <row r="946" spans="1:29" x14ac:dyDescent="0.2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</row>
    <row r="947" spans="1:29" x14ac:dyDescent="0.2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</row>
    <row r="948" spans="1:29" x14ac:dyDescent="0.2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</row>
    <row r="949" spans="1:29" x14ac:dyDescent="0.2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</row>
    <row r="950" spans="1:29" x14ac:dyDescent="0.2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</row>
    <row r="951" spans="1:29" x14ac:dyDescent="0.2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</row>
    <row r="952" spans="1:29" x14ac:dyDescent="0.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</row>
    <row r="953" spans="1:29" x14ac:dyDescent="0.2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</row>
    <row r="954" spans="1:29" x14ac:dyDescent="0.2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</row>
    <row r="955" spans="1:29" x14ac:dyDescent="0.2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</row>
    <row r="956" spans="1:29" x14ac:dyDescent="0.2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</row>
    <row r="957" spans="1:29" x14ac:dyDescent="0.2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</row>
    <row r="958" spans="1:29" x14ac:dyDescent="0.2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</row>
    <row r="959" spans="1:29" x14ac:dyDescent="0.2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</row>
    <row r="960" spans="1:29" x14ac:dyDescent="0.2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</row>
    <row r="961" spans="1:29" x14ac:dyDescent="0.2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</row>
    <row r="962" spans="1:29" x14ac:dyDescent="0.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</row>
    <row r="963" spans="1:29" x14ac:dyDescent="0.2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</row>
    <row r="964" spans="1:29" x14ac:dyDescent="0.2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</row>
    <row r="965" spans="1:29" x14ac:dyDescent="0.2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</row>
    <row r="966" spans="1:29" x14ac:dyDescent="0.2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</row>
    <row r="967" spans="1:29" x14ac:dyDescent="0.2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</row>
    <row r="968" spans="1:29" x14ac:dyDescent="0.2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</row>
    <row r="969" spans="1:29" x14ac:dyDescent="0.2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</row>
    <row r="970" spans="1:29" x14ac:dyDescent="0.2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</row>
    <row r="971" spans="1:29" x14ac:dyDescent="0.2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</row>
    <row r="972" spans="1:29" x14ac:dyDescent="0.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</row>
    <row r="973" spans="1:29" x14ac:dyDescent="0.2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</row>
    <row r="974" spans="1:29" x14ac:dyDescent="0.2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</row>
    <row r="975" spans="1:29" x14ac:dyDescent="0.2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</row>
    <row r="976" spans="1:29" x14ac:dyDescent="0.2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</row>
    <row r="977" spans="1:29" x14ac:dyDescent="0.2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</row>
    <row r="978" spans="1:29" x14ac:dyDescent="0.2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</row>
    <row r="979" spans="1:29" x14ac:dyDescent="0.2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</row>
    <row r="980" spans="1:29" x14ac:dyDescent="0.2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</row>
    <row r="981" spans="1:29" x14ac:dyDescent="0.2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</row>
    <row r="982" spans="1:29" x14ac:dyDescent="0.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</row>
    <row r="983" spans="1:29" x14ac:dyDescent="0.2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</row>
    <row r="984" spans="1:29" x14ac:dyDescent="0.2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</row>
    <row r="985" spans="1:29" x14ac:dyDescent="0.2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</row>
    <row r="986" spans="1:29" x14ac:dyDescent="0.2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</row>
    <row r="987" spans="1:29" x14ac:dyDescent="0.2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</row>
    <row r="988" spans="1:29" x14ac:dyDescent="0.2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</row>
    <row r="989" spans="1:29" x14ac:dyDescent="0.2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</row>
    <row r="990" spans="1:29" x14ac:dyDescent="0.2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B2:U65"/>
  <sheetViews>
    <sheetView workbookViewId="0">
      <selection activeCell="Q17" sqref="Q17"/>
    </sheetView>
  </sheetViews>
  <sheetFormatPr defaultColWidth="12.5703125" defaultRowHeight="15.75" customHeight="1" x14ac:dyDescent="0.2"/>
  <cols>
    <col min="1" max="1" width="3.28515625" customWidth="1"/>
    <col min="2" max="2" width="11.42578125" customWidth="1"/>
    <col min="3" max="3" width="64.5703125" customWidth="1"/>
    <col min="4" max="4" width="7.5703125" customWidth="1"/>
    <col min="5" max="5" width="3.85546875" customWidth="1"/>
    <col min="6" max="6" width="7.5703125" customWidth="1"/>
    <col min="7" max="7" width="46.42578125" customWidth="1"/>
    <col min="8" max="8" width="26.42578125" customWidth="1"/>
    <col min="9" max="9" width="12" customWidth="1"/>
    <col min="10" max="10" width="8.28515625" customWidth="1"/>
    <col min="11" max="11" width="3.28515625" customWidth="1"/>
    <col min="12" max="12" width="13.85546875" customWidth="1"/>
    <col min="13" max="13" width="8.85546875" customWidth="1"/>
    <col min="14" max="14" width="72.7109375" customWidth="1"/>
    <col min="15" max="15" width="19.28515625" customWidth="1"/>
    <col min="16" max="16" width="4.42578125" customWidth="1"/>
    <col min="17" max="17" width="7.5703125" customWidth="1"/>
    <col min="18" max="18" width="47.5703125" customWidth="1"/>
    <col min="19" max="19" width="27.5703125" customWidth="1"/>
    <col min="20" max="20" width="12" customWidth="1"/>
    <col min="21" max="21" width="21.42578125" customWidth="1"/>
  </cols>
  <sheetData>
    <row r="2" spans="2:21" ht="30" customHeight="1" x14ac:dyDescent="0.2">
      <c r="B2" s="72" t="s">
        <v>122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</row>
    <row r="4" spans="2:21" ht="16.5" x14ac:dyDescent="0.2">
      <c r="B4" s="63" t="s">
        <v>25</v>
      </c>
      <c r="C4" s="64"/>
      <c r="D4" s="64"/>
      <c r="E4" s="64"/>
      <c r="F4" s="64"/>
      <c r="G4" s="64"/>
      <c r="H4" s="64"/>
      <c r="I4" s="64"/>
      <c r="J4" s="65"/>
      <c r="L4" s="73" t="s">
        <v>123</v>
      </c>
      <c r="M4" s="67"/>
      <c r="N4" s="67"/>
      <c r="O4" s="67"/>
      <c r="P4" s="67"/>
      <c r="Q4" s="67"/>
      <c r="R4" s="67"/>
      <c r="S4" s="67"/>
      <c r="T4" s="67"/>
      <c r="U4" s="67"/>
    </row>
    <row r="5" spans="2:21" ht="12.75" x14ac:dyDescent="0.2">
      <c r="B5" s="40" t="s">
        <v>27</v>
      </c>
      <c r="C5" s="40" t="s">
        <v>28</v>
      </c>
      <c r="D5" s="40" t="s">
        <v>29</v>
      </c>
      <c r="E5" s="40" t="s">
        <v>30</v>
      </c>
      <c r="F5" s="40" t="s">
        <v>31</v>
      </c>
      <c r="G5" s="40" t="s">
        <v>32</v>
      </c>
      <c r="H5" s="40" t="s">
        <v>33</v>
      </c>
      <c r="I5" s="40" t="s">
        <v>34</v>
      </c>
      <c r="J5" s="40" t="s">
        <v>35</v>
      </c>
      <c r="L5" s="40" t="s">
        <v>36</v>
      </c>
      <c r="M5" s="40" t="s">
        <v>37</v>
      </c>
      <c r="N5" s="40" t="s">
        <v>38</v>
      </c>
      <c r="O5" s="40" t="s">
        <v>39</v>
      </c>
      <c r="P5" s="40" t="s">
        <v>40</v>
      </c>
      <c r="Q5" s="40" t="s">
        <v>41</v>
      </c>
      <c r="R5" s="40" t="s">
        <v>42</v>
      </c>
      <c r="S5" s="40" t="s">
        <v>43</v>
      </c>
      <c r="T5" s="40" t="s">
        <v>44</v>
      </c>
      <c r="U5" s="40" t="s">
        <v>45</v>
      </c>
    </row>
    <row r="6" spans="2:21" ht="15" x14ac:dyDescent="0.2">
      <c r="B6" s="41">
        <v>1</v>
      </c>
      <c r="C6" s="41" t="str">
        <f>"Команда 3 (" &amp; 'Группа 2'!E2 &amp; " / " &amp; 'Группа 2'!E3 &amp; ")"</f>
        <v>Команда 3 (Концевой Сергій Миколайович / Парфенюк Сергій Олександрович)</v>
      </c>
      <c r="D6" s="42">
        <f t="shared" ref="D6:D9" si="0">COUNTIFS($C$36:$C$41, C6, $I$36:$I$41, "Завершено") + COUNTIFS($G$36:$G$41, C6, $I$36:$I$41, "Завершено")</f>
        <v>3</v>
      </c>
      <c r="E6" s="42">
        <f t="shared" ref="E6:E9" si="1">COUNTIF($H$36:$H$41, C6)</f>
        <v>3</v>
      </c>
      <c r="F6" s="42">
        <f t="shared" ref="F6:F9" si="2">D6 - E6</f>
        <v>0</v>
      </c>
      <c r="G6" s="42">
        <f t="shared" ref="G6:G9" si="3">SUMIF($C$36:$C$41, C6, $D$36:$D$41) + SUMIF($G$36:$G$41, C6, $F$36:$F$41)</f>
        <v>33</v>
      </c>
      <c r="H6" s="42">
        <f t="shared" ref="H6:H9" si="4">SUMIF($C$36:$C$41, C6, $F$36:$F$41) + SUMIF($G$36:$G$41, C6, $D$36:$D$41)</f>
        <v>10</v>
      </c>
      <c r="I6" s="43">
        <f t="shared" ref="I6:I9" si="5">G6 - H6</f>
        <v>23</v>
      </c>
      <c r="J6" s="42">
        <f t="shared" ref="J6:J9" si="6">IF(SUM($D$6:$D$9)=0, "—", 1 + COUNTIFS($E$6:$E$9, "&gt;"&amp;E6) + COUNTIFS($E$6:$E$9, E6, $I$6:$I$9, "&gt;"&amp;I6) + COUNTIFS($E$6:$E$9, E6, $I$6:$I$9, I6, $G$6:$G$9, "&gt;"&amp;G6))</f>
        <v>1</v>
      </c>
      <c r="L6" s="41" t="s">
        <v>124</v>
      </c>
      <c r="M6" s="41" t="s">
        <v>125</v>
      </c>
      <c r="N6" s="41" t="str">
        <f t="array" ref="N6">IFERROR(INDEX($C$6:$C$9, MATCH(1, $J$6:$J$9, 0)), "1-ше місце Групи 1")</f>
        <v>Команда 3 (Концевой Сергій Миколайович / Парфенюк Сергій Олександрович)</v>
      </c>
      <c r="O6" s="44">
        <v>8</v>
      </c>
      <c r="P6" s="41" t="s">
        <v>40</v>
      </c>
      <c r="Q6" s="44">
        <v>11</v>
      </c>
      <c r="R6" s="41" t="str">
        <f t="array" ref="R6">IFERROR(INDEX($C$13:$C$16, MATCH(2, $J$13:$J$16, 0)), "2-ге місце Групи 2")</f>
        <v>Команда 4 (Тарарака Олексій Борисович / Татаров Руслан Сергійович)</v>
      </c>
      <c r="S6" s="41" t="str">
        <f t="shared" ref="S6:S9" si="7">IF(AND(ISNUMBER(O6),ISNUMBER(Q6)),IF(O6&gt;Q6,N6,IF(Q6&gt;O6,R6,"Нічия")),"—")</f>
        <v>Команда 4 (Тарарака Олексій Борисович / Татаров Руслан Сергійович)</v>
      </c>
      <c r="T6" s="41" t="str">
        <f t="shared" ref="T6:T9" si="8">IF(AND(ISNUMBER(O6),ISNUMBER(Q6)),"Завершено","Очікується")</f>
        <v>Завершено</v>
      </c>
      <c r="U6" s="41" t="s">
        <v>126</v>
      </c>
    </row>
    <row r="7" spans="2:21" ht="15" x14ac:dyDescent="0.2">
      <c r="B7" s="41">
        <v>2</v>
      </c>
      <c r="C7" s="45" t="str">
        <f>"Команда 11 (" &amp; 'Группа 2'!E4 &amp; " / " &amp; 'Группа 2'!E5 &amp; ")"</f>
        <v>Команда 11 (Пазиніч Сергій Анатолійович / Олейник Юрій Валерійович)</v>
      </c>
      <c r="D7" s="42">
        <f t="shared" si="0"/>
        <v>3</v>
      </c>
      <c r="E7" s="42">
        <f t="shared" si="1"/>
        <v>0</v>
      </c>
      <c r="F7" s="42">
        <f t="shared" si="2"/>
        <v>3</v>
      </c>
      <c r="G7" s="42">
        <f t="shared" si="3"/>
        <v>0</v>
      </c>
      <c r="H7" s="42">
        <f t="shared" si="4"/>
        <v>33</v>
      </c>
      <c r="I7" s="43">
        <f t="shared" si="5"/>
        <v>-33</v>
      </c>
      <c r="J7" s="42">
        <f t="shared" si="6"/>
        <v>4</v>
      </c>
      <c r="L7" s="41" t="s">
        <v>124</v>
      </c>
      <c r="M7" s="41" t="s">
        <v>127</v>
      </c>
      <c r="N7" s="41" t="str">
        <f t="array" ref="N7">IFERROR(INDEX($C$20:$C$22, MATCH(1, $J$20:$J$22, 0)), "1-ше місце Групи 3")</f>
        <v>Команда 2 (Салабай Олександр / Шульга Андрей)</v>
      </c>
      <c r="O7" s="46">
        <v>11</v>
      </c>
      <c r="P7" s="41" t="s">
        <v>40</v>
      </c>
      <c r="Q7" s="44">
        <v>2</v>
      </c>
      <c r="R7" s="41" t="str">
        <f t="array" ref="R7">IFERROR(INDEX($C$26:$C$28, MATCH(2, $J$26:$J$28, 0)), "2-ге місце Групи 4")</f>
        <v>Команда 6 (Глухов Андрій Валерійович / Змієвський Станіслав Валерійович)</v>
      </c>
      <c r="S7" s="41" t="str">
        <f t="shared" si="7"/>
        <v>Команда 2 (Салабай Олександр / Шульга Андрей)</v>
      </c>
      <c r="T7" s="41" t="str">
        <f t="shared" si="8"/>
        <v>Завершено</v>
      </c>
      <c r="U7" s="41" t="s">
        <v>126</v>
      </c>
    </row>
    <row r="8" spans="2:21" ht="15" x14ac:dyDescent="0.2">
      <c r="B8" s="41">
        <v>3</v>
      </c>
      <c r="C8" s="41" t="str">
        <f>"Команда 12 (" &amp; 'Группа 2'!E6 &amp; " / " &amp; 'Группа 2'!E7 &amp; ")"</f>
        <v>Команда 12 (Делігіоз Андрій Георгійович / Цап Олег)</v>
      </c>
      <c r="D8" s="42">
        <f t="shared" si="0"/>
        <v>3</v>
      </c>
      <c r="E8" s="42">
        <f t="shared" si="1"/>
        <v>1</v>
      </c>
      <c r="F8" s="42">
        <f t="shared" si="2"/>
        <v>2</v>
      </c>
      <c r="G8" s="42">
        <f t="shared" si="3"/>
        <v>14</v>
      </c>
      <c r="H8" s="42">
        <f t="shared" si="4"/>
        <v>22</v>
      </c>
      <c r="I8" s="43">
        <f t="shared" si="5"/>
        <v>-8</v>
      </c>
      <c r="J8" s="42">
        <f t="shared" si="6"/>
        <v>3</v>
      </c>
      <c r="L8" s="41" t="s">
        <v>124</v>
      </c>
      <c r="M8" s="41" t="s">
        <v>128</v>
      </c>
      <c r="N8" s="41" t="str">
        <f t="array" ref="N8">IFERROR(INDEX($C$13:$C$16, MATCH(1, $J$13:$J$16, 0)), "1-ше місце Групи 2")</f>
        <v>Команда 7 (Орєшин Микола Семенович / Грибонос Олександр Володиморович)</v>
      </c>
      <c r="O8" s="44">
        <v>8</v>
      </c>
      <c r="P8" s="41" t="s">
        <v>40</v>
      </c>
      <c r="Q8" s="44">
        <v>11</v>
      </c>
      <c r="R8" s="41" t="str">
        <f t="array" ref="R8">IFERROR(INDEX($C$6:$C$9, MATCH(2, $J$6:$J$9, 0)), "2-ге місце Групи 1")</f>
        <v>Команда 13 (Фещук Данило Олександрович / Гиряк Роман Михайлович)</v>
      </c>
      <c r="S8" s="41" t="str">
        <f t="shared" si="7"/>
        <v>Команда 13 (Фещук Данило Олександрович / Гиряк Роман Михайлович)</v>
      </c>
      <c r="T8" s="41" t="str">
        <f t="shared" si="8"/>
        <v>Завершено</v>
      </c>
      <c r="U8" s="41" t="s">
        <v>126</v>
      </c>
    </row>
    <row r="9" spans="2:21" ht="15" x14ac:dyDescent="0.2">
      <c r="B9" s="41">
        <v>4</v>
      </c>
      <c r="C9" s="41" t="str">
        <f>"Команда 13 (" &amp; 'Группа 2'!E8 &amp; " / " &amp; 'Группа 2'!E9 &amp; ")"</f>
        <v>Команда 13 (Фещук Данило Олександрович / Гиряк Роман Михайлович)</v>
      </c>
      <c r="D9" s="42">
        <f t="shared" si="0"/>
        <v>3</v>
      </c>
      <c r="E9" s="42">
        <f t="shared" si="1"/>
        <v>2</v>
      </c>
      <c r="F9" s="42">
        <f t="shared" si="2"/>
        <v>1</v>
      </c>
      <c r="G9" s="42">
        <f t="shared" si="3"/>
        <v>29</v>
      </c>
      <c r="H9" s="42">
        <f t="shared" si="4"/>
        <v>11</v>
      </c>
      <c r="I9" s="43">
        <f t="shared" si="5"/>
        <v>18</v>
      </c>
      <c r="J9" s="42">
        <f t="shared" si="6"/>
        <v>2</v>
      </c>
      <c r="L9" s="41" t="s">
        <v>124</v>
      </c>
      <c r="M9" s="41" t="s">
        <v>129</v>
      </c>
      <c r="N9" s="41" t="str">
        <f t="array" ref="N9">IFERROR(INDEX($C$26:$C$28, MATCH(1, $J$26:$J$28, 0)), "1-ше місце Групи 4")</f>
        <v>Команда 1 (Сторожук Микола Миколайович / Нестерчук Вадим Миколайович)</v>
      </c>
      <c r="O9" s="46">
        <v>11</v>
      </c>
      <c r="P9" s="41" t="s">
        <v>40</v>
      </c>
      <c r="Q9" s="44">
        <v>2</v>
      </c>
      <c r="R9" s="41" t="str">
        <f t="array" ref="R9">IFERROR(INDEX($C$20:$C$22, MATCH(2, $J$20:$J$22, 0)), "2-ге місце Групи 3")</f>
        <v>Команда 5 (Прокопович Сергій Михайлович / Кравцов Олександр Сергійович)</v>
      </c>
      <c r="S9" s="41" t="str">
        <f t="shared" si="7"/>
        <v>Команда 1 (Сторожук Микола Миколайович / Нестерчук Вадим Миколайович)</v>
      </c>
      <c r="T9" s="41" t="str">
        <f t="shared" si="8"/>
        <v>Завершено</v>
      </c>
      <c r="U9" s="41" t="s">
        <v>126</v>
      </c>
    </row>
    <row r="11" spans="2:21" x14ac:dyDescent="0.2">
      <c r="B11" s="63" t="s">
        <v>56</v>
      </c>
      <c r="C11" s="64"/>
      <c r="D11" s="64"/>
      <c r="E11" s="64"/>
      <c r="F11" s="64"/>
      <c r="G11" s="64"/>
      <c r="H11" s="64"/>
      <c r="I11" s="64"/>
      <c r="J11" s="65"/>
      <c r="L11" s="41" t="s">
        <v>46</v>
      </c>
      <c r="M11" s="41" t="s">
        <v>47</v>
      </c>
      <c r="N11" s="41" t="str">
        <f>IF(S6="—","Переможець ЧФ 1",S6)</f>
        <v>Команда 4 (Тарарака Олексій Борисович / Татаров Руслан Сергійович)</v>
      </c>
      <c r="O11" s="44">
        <v>7</v>
      </c>
      <c r="P11" s="41" t="s">
        <v>40</v>
      </c>
      <c r="Q11" s="44">
        <v>11</v>
      </c>
      <c r="R11" s="41" t="str">
        <f>IF(S7="—","Переможець ЧФ 2",S7)</f>
        <v>Команда 2 (Салабай Олександр / Шульга Андрей)</v>
      </c>
      <c r="S11" s="41" t="str">
        <f t="shared" ref="S11:S12" si="9">IF(AND(ISNUMBER(O11),ISNUMBER(Q11)),IF(O11&gt;Q11,N11,IF(Q11&gt;O11,R11,"Нічия")),"—")</f>
        <v>Команда 2 (Салабай Олександр / Шульга Андрей)</v>
      </c>
      <c r="T11" s="41" t="str">
        <f t="shared" ref="T11:T12" si="10">IF(AND(ISNUMBER(O11),ISNUMBER(Q11)),"Завершено","Очікується")</f>
        <v>Завершено</v>
      </c>
      <c r="U11" s="41" t="s">
        <v>48</v>
      </c>
    </row>
    <row r="12" spans="2:21" ht="15" x14ac:dyDescent="0.2">
      <c r="B12" s="40" t="s">
        <v>27</v>
      </c>
      <c r="C12" s="40" t="s">
        <v>28</v>
      </c>
      <c r="D12" s="40" t="s">
        <v>29</v>
      </c>
      <c r="E12" s="40" t="s">
        <v>30</v>
      </c>
      <c r="F12" s="40" t="s">
        <v>31</v>
      </c>
      <c r="G12" s="40" t="s">
        <v>32</v>
      </c>
      <c r="H12" s="40" t="s">
        <v>33</v>
      </c>
      <c r="I12" s="40" t="s">
        <v>34</v>
      </c>
      <c r="J12" s="40" t="s">
        <v>35</v>
      </c>
      <c r="L12" s="41" t="s">
        <v>46</v>
      </c>
      <c r="M12" s="41" t="s">
        <v>49</v>
      </c>
      <c r="N12" s="41" t="str">
        <f>IF(S8="—","Переможець ЧФ 3",S8)</f>
        <v>Команда 13 (Фещук Данило Олександрович / Гиряк Роман Михайлович)</v>
      </c>
      <c r="O12" s="44">
        <v>5</v>
      </c>
      <c r="P12" s="41" t="s">
        <v>40</v>
      </c>
      <c r="Q12" s="44">
        <v>11</v>
      </c>
      <c r="R12" s="41" t="str">
        <f>IF(S9="—","Переможець ЧФ 4",S9)</f>
        <v>Команда 1 (Сторожук Микола Миколайович / Нестерчук Вадим Миколайович)</v>
      </c>
      <c r="S12" s="41" t="str">
        <f t="shared" si="9"/>
        <v>Команда 1 (Сторожук Микола Миколайович / Нестерчук Вадим Миколайович)</v>
      </c>
      <c r="T12" s="41" t="str">
        <f t="shared" si="10"/>
        <v>Завершено</v>
      </c>
      <c r="U12" s="41" t="s">
        <v>48</v>
      </c>
    </row>
    <row r="13" spans="2:21" ht="12.75" x14ac:dyDescent="0.2">
      <c r="B13" s="41">
        <v>1</v>
      </c>
      <c r="C13" s="41" t="str">
        <f>"Команда 4 (" &amp; 'Группа 2'!E10 &amp; " / " &amp; 'Группа 2'!E11 &amp; ")"</f>
        <v>Команда 4 (Тарарака Олексій Борисович / Татаров Руслан Сергійович)</v>
      </c>
      <c r="D13" s="42">
        <f t="shared" ref="D13:D16" si="11">COUNTIFS($C$45:$C$50, C13, $I$45:$I$50, "Завершено") + COUNTIFS($G$45:$G$50, C13, $I$45:$I$50, "Завершено")</f>
        <v>3</v>
      </c>
      <c r="E13" s="42">
        <f t="shared" ref="E13:E16" si="12">COUNTIF($H$45:$H$50, C13)</f>
        <v>2</v>
      </c>
      <c r="F13" s="42">
        <f t="shared" ref="F13:F16" si="13">D13 - E13</f>
        <v>1</v>
      </c>
      <c r="G13" s="42">
        <f t="shared" ref="G13:G16" si="14">SUMIF($C$45:$C$50, C13, $D$45:$D$50) + SUMIF($G$45:$G$50, C13, $F$45:$F$50)</f>
        <v>33</v>
      </c>
      <c r="H13" s="42">
        <f t="shared" ref="H13:H16" si="15">SUMIF($C$45:$C$50, C13, $F$45:$F$50) + SUMIF($G$45:$G$50, C13, $D$45:$D$50)</f>
        <v>13</v>
      </c>
      <c r="I13" s="43">
        <f t="shared" ref="I13:I16" si="16">G13 - H13</f>
        <v>20</v>
      </c>
      <c r="J13" s="42">
        <f t="shared" ref="J13:J16" si="17">IF(SUM($D$13:$D$16)=0, "—", 1 + COUNTIFS($E$13:$E$16, "&gt;"&amp;E13) + COUNTIFS($E$13:$E$16, E13, $I$13:$I$16, "&gt;"&amp;I13) + COUNTIFS($E$13:$E$16, E13, $I$13:$I$16, I13, $G$13:$G$16, "&gt;"&amp;G13))</f>
        <v>2</v>
      </c>
    </row>
    <row r="14" spans="2:21" ht="15" x14ac:dyDescent="0.2">
      <c r="B14" s="41">
        <v>2</v>
      </c>
      <c r="C14" s="41" t="str">
        <f>"Команда 7 (" &amp; 'Группа 2'!E12 &amp; " / " &amp; 'Группа 2'!E13 &amp; ")"</f>
        <v>Команда 7 (Орєшин Микола Семенович / Грибонос Олександр Володиморович)</v>
      </c>
      <c r="D14" s="42">
        <f t="shared" si="11"/>
        <v>3</v>
      </c>
      <c r="E14" s="42">
        <f t="shared" si="12"/>
        <v>3</v>
      </c>
      <c r="F14" s="42">
        <f t="shared" si="13"/>
        <v>0</v>
      </c>
      <c r="G14" s="42">
        <f t="shared" si="14"/>
        <v>35</v>
      </c>
      <c r="H14" s="42">
        <f t="shared" si="15"/>
        <v>15</v>
      </c>
      <c r="I14" s="43">
        <f t="shared" si="16"/>
        <v>20</v>
      </c>
      <c r="J14" s="42">
        <f t="shared" si="17"/>
        <v>1</v>
      </c>
      <c r="L14" s="41" t="s">
        <v>50</v>
      </c>
      <c r="M14" s="41" t="s">
        <v>51</v>
      </c>
      <c r="N14" s="41" t="str">
        <f>IF(AND(ISNUMBER(O11),ISNUMBER(Q11)),IF(O11&lt;Q11,N11,R11),"Програвший ПФ 1")</f>
        <v>Команда 4 (Тарарака Олексій Борисович / Татаров Руслан Сергійович)</v>
      </c>
      <c r="O14" s="44">
        <v>11</v>
      </c>
      <c r="P14" s="41" t="s">
        <v>40</v>
      </c>
      <c r="Q14" s="44">
        <v>5</v>
      </c>
      <c r="R14" s="41" t="str">
        <f>IF(AND(ISNUMBER(O12),ISNUMBER(Q12)),IF(O12&lt;Q12,N12,R12),"Програвший ПФ 2")</f>
        <v>Команда 13 (Фещук Данило Олександрович / Гиряк Роман Михайлович)</v>
      </c>
      <c r="S14" s="41" t="str">
        <f>IF(AND(ISNUMBER(O14),ISNUMBER(Q14)),IF(O14&gt;Q14,N14,IF(Q14&gt;O14,R14,"Нічия")),"—")</f>
        <v>Команда 4 (Тарарака Олексій Борисович / Татаров Руслан Сергійович)</v>
      </c>
      <c r="T14" s="41" t="str">
        <f>IF(AND(ISNUMBER(O14),ISNUMBER(Q14)),"Завершено","Очікується")</f>
        <v>Завершено</v>
      </c>
      <c r="U14" s="41" t="s">
        <v>52</v>
      </c>
    </row>
    <row r="15" spans="2:21" ht="12.75" x14ac:dyDescent="0.2">
      <c r="B15" s="45">
        <v>3</v>
      </c>
      <c r="C15" s="45" t="str">
        <f>"Команда 9 (" &amp; 'Группа 2'!E14 &amp; " / " &amp; 'Группа 2'!E15 &amp; ")"</f>
        <v>Команда 9 (Горковець Андрій Георгійович / Толкачов Сергій Вікторович)</v>
      </c>
      <c r="D15" s="42">
        <f t="shared" si="11"/>
        <v>3</v>
      </c>
      <c r="E15" s="42">
        <f t="shared" si="12"/>
        <v>0</v>
      </c>
      <c r="F15" s="42">
        <f t="shared" si="13"/>
        <v>3</v>
      </c>
      <c r="G15" s="42">
        <f t="shared" si="14"/>
        <v>0</v>
      </c>
      <c r="H15" s="42">
        <f t="shared" si="15"/>
        <v>33</v>
      </c>
      <c r="I15" s="43">
        <f t="shared" si="16"/>
        <v>-33</v>
      </c>
      <c r="J15" s="42">
        <f t="shared" si="17"/>
        <v>4</v>
      </c>
    </row>
    <row r="16" spans="2:21" ht="15" x14ac:dyDescent="0.2">
      <c r="B16" s="41">
        <v>4</v>
      </c>
      <c r="C16" s="41" t="str">
        <f>"Команда 14 (" &amp; 'Группа 2'!E16 &amp; " / " &amp; 'Группа 2'!E17 &amp; ")"</f>
        <v>Команда 14 (Трач Ігор Іванович / Дучєв Максим Палович)</v>
      </c>
      <c r="D16" s="42">
        <f t="shared" si="11"/>
        <v>3</v>
      </c>
      <c r="E16" s="42">
        <f t="shared" si="12"/>
        <v>1</v>
      </c>
      <c r="F16" s="42">
        <f t="shared" si="13"/>
        <v>2</v>
      </c>
      <c r="G16" s="42">
        <f t="shared" si="14"/>
        <v>15</v>
      </c>
      <c r="H16" s="42">
        <f t="shared" si="15"/>
        <v>22</v>
      </c>
      <c r="I16" s="43">
        <f t="shared" si="16"/>
        <v>-7</v>
      </c>
      <c r="J16" s="42">
        <f t="shared" si="17"/>
        <v>3</v>
      </c>
      <c r="L16" s="41" t="s">
        <v>53</v>
      </c>
      <c r="M16" s="41" t="s">
        <v>54</v>
      </c>
      <c r="N16" s="41" t="str">
        <f>IF(S11="—","Переможець ПФ 1",S11)</f>
        <v>Команда 2 (Салабай Олександр / Шульга Андрей)</v>
      </c>
      <c r="O16" s="44">
        <v>11</v>
      </c>
      <c r="P16" s="41" t="s">
        <v>40</v>
      </c>
      <c r="Q16" s="44">
        <v>8</v>
      </c>
      <c r="R16" s="41" t="str">
        <f>IF(S12="—","Переможець ПФ 2",S12)</f>
        <v>Команда 1 (Сторожук Микола Миколайович / Нестерчук Вадим Миколайович)</v>
      </c>
      <c r="S16" s="41" t="str">
        <f>IF(AND(ISNUMBER(O16),ISNUMBER(Q16)),IF(O16&gt;Q16,N16,IF(Q16&gt;O16,R16,"Нічия")),"—")</f>
        <v>Команда 2 (Салабай Олександр / Шульга Андрей)</v>
      </c>
      <c r="T16" s="41" t="str">
        <f>IF(AND(ISNUMBER(O16),ISNUMBER(Q16)),"Завершено","Очікується")</f>
        <v>Завершено</v>
      </c>
      <c r="U16" s="41" t="s">
        <v>55</v>
      </c>
    </row>
    <row r="18" spans="2:21" x14ac:dyDescent="0.2">
      <c r="B18" s="63" t="s">
        <v>130</v>
      </c>
      <c r="C18" s="64"/>
      <c r="D18" s="64"/>
      <c r="E18" s="64"/>
      <c r="F18" s="64"/>
      <c r="G18" s="64"/>
      <c r="H18" s="64"/>
      <c r="I18" s="64"/>
      <c r="J18" s="65"/>
      <c r="L18" s="74" t="s">
        <v>57</v>
      </c>
      <c r="M18" s="67"/>
      <c r="N18" s="67"/>
      <c r="O18" s="67"/>
      <c r="P18" s="67"/>
      <c r="Q18" s="67"/>
      <c r="R18" s="67"/>
      <c r="S18" s="67"/>
      <c r="T18" s="67"/>
      <c r="U18" s="67"/>
    </row>
    <row r="19" spans="2:21" ht="12.75" x14ac:dyDescent="0.2">
      <c r="B19" s="40" t="s">
        <v>27</v>
      </c>
      <c r="C19" s="40" t="s">
        <v>28</v>
      </c>
      <c r="D19" s="40" t="s">
        <v>29</v>
      </c>
      <c r="E19" s="40" t="s">
        <v>30</v>
      </c>
      <c r="F19" s="40" t="s">
        <v>31</v>
      </c>
      <c r="G19" s="40" t="s">
        <v>32</v>
      </c>
      <c r="H19" s="40" t="s">
        <v>33</v>
      </c>
      <c r="I19" s="40" t="s">
        <v>34</v>
      </c>
      <c r="J19" s="40" t="s">
        <v>35</v>
      </c>
      <c r="L19" s="66" t="s">
        <v>131</v>
      </c>
      <c r="M19" s="67"/>
      <c r="N19" s="67"/>
      <c r="O19" s="67"/>
      <c r="P19" s="67"/>
      <c r="Q19" s="67"/>
      <c r="R19" s="67"/>
      <c r="S19" s="67"/>
      <c r="T19" s="67"/>
      <c r="U19" s="67"/>
    </row>
    <row r="20" spans="2:21" ht="12.75" x14ac:dyDescent="0.2">
      <c r="B20" s="41">
        <v>1</v>
      </c>
      <c r="C20" s="41" t="str">
        <f>"Команда 2 (" &amp; 'Группа 2'!E18 &amp; " / " &amp; 'Группа 2'!E19 &amp; ")"</f>
        <v>Команда 2 (Салабай Олександр / Шульга Андрей)</v>
      </c>
      <c r="D20" s="42">
        <f t="shared" ref="D20:D22" si="18">COUNTIFS($C$54:$C$56, C20, $I$54:$I$56, "Завершено") + COUNTIFS($G$54:$G$56, C20, $I$54:$I$56, "Завершено")</f>
        <v>2</v>
      </c>
      <c r="E20" s="42">
        <f t="shared" ref="E20:E22" si="19">COUNTIF($H$54:$H$56, C20)</f>
        <v>2</v>
      </c>
      <c r="F20" s="42">
        <f t="shared" ref="F20:F22" si="20">D20 - E20</f>
        <v>0</v>
      </c>
      <c r="G20" s="42">
        <f t="shared" ref="G20:G22" si="21">SUMIF($C$54:$C$56, C20, $D$54:$D$56) + SUMIF($G$54:$G$56, C20, $F$54:$F$56)</f>
        <v>22</v>
      </c>
      <c r="H20" s="42">
        <f t="shared" ref="H20:H22" si="22">SUMIF($C$54:$C$56, C20, $F$54:$F$56) + SUMIF($G$54:$G$56, C20, $D$54:$D$56)</f>
        <v>5</v>
      </c>
      <c r="I20" s="43">
        <f t="shared" ref="I20:I22" si="23">G20 - H20</f>
        <v>17</v>
      </c>
      <c r="J20" s="42">
        <f t="shared" ref="J20:J22" si="24">IF(SUM($D$20:$D$22)=0, "—", 1 + COUNTIFS($E$20:$E$22, "&gt;"&amp;E20) + COUNTIFS($E$20:$E$22, E20, $I$20:$I$22, "&gt;"&amp;I20) + COUNTIFS($E$20:$E$22, E20, $I$20:$I$22, I20, $G$20:$G$22, "&gt;"&amp;G20))</f>
        <v>1</v>
      </c>
      <c r="L20" s="66" t="s">
        <v>132</v>
      </c>
      <c r="M20" s="67"/>
      <c r="N20" s="67"/>
      <c r="O20" s="67"/>
      <c r="P20" s="67"/>
      <c r="Q20" s="67"/>
      <c r="R20" s="67"/>
      <c r="S20" s="67"/>
      <c r="T20" s="67"/>
      <c r="U20" s="67"/>
    </row>
    <row r="21" spans="2:21" ht="12.75" x14ac:dyDescent="0.2">
      <c r="B21" s="41">
        <v>2</v>
      </c>
      <c r="C21" s="41" t="str">
        <f>"Команда 5 (" &amp; 'Группа 2'!E20 &amp; " / " &amp; 'Группа 2'!E21 &amp; ")"</f>
        <v>Команда 5 (Прокопович Сергій Михайлович / Кравцов Олександр Сергійович)</v>
      </c>
      <c r="D21" s="42">
        <f t="shared" si="18"/>
        <v>2</v>
      </c>
      <c r="E21" s="42">
        <f t="shared" si="19"/>
        <v>1</v>
      </c>
      <c r="F21" s="42">
        <f t="shared" si="20"/>
        <v>1</v>
      </c>
      <c r="G21" s="42">
        <f t="shared" si="21"/>
        <v>16</v>
      </c>
      <c r="H21" s="42">
        <f t="shared" si="22"/>
        <v>13</v>
      </c>
      <c r="I21" s="43">
        <f t="shared" si="23"/>
        <v>3</v>
      </c>
      <c r="J21" s="42">
        <f t="shared" si="24"/>
        <v>2</v>
      </c>
      <c r="L21" s="66" t="s">
        <v>59</v>
      </c>
      <c r="M21" s="67"/>
      <c r="N21" s="67"/>
      <c r="O21" s="67"/>
      <c r="P21" s="67"/>
      <c r="Q21" s="67"/>
      <c r="R21" s="67"/>
      <c r="S21" s="67"/>
      <c r="T21" s="67"/>
      <c r="U21" s="67"/>
    </row>
    <row r="22" spans="2:21" ht="12.75" x14ac:dyDescent="0.2">
      <c r="B22" s="41">
        <v>3</v>
      </c>
      <c r="C22" s="41" t="str">
        <f>"Команда 10 (" &amp; 'Группа 2'!E22 &amp; " / " &amp; 'Группа 2'!E23 &amp; ")"</f>
        <v>Команда 10 (Кривонос Андрій Миколайович / Мазур Володімір)</v>
      </c>
      <c r="D22" s="42">
        <f t="shared" si="18"/>
        <v>2</v>
      </c>
      <c r="E22" s="42">
        <f t="shared" si="19"/>
        <v>0</v>
      </c>
      <c r="F22" s="42">
        <f t="shared" si="20"/>
        <v>2</v>
      </c>
      <c r="G22" s="42">
        <f t="shared" si="21"/>
        <v>2</v>
      </c>
      <c r="H22" s="42">
        <f t="shared" si="22"/>
        <v>22</v>
      </c>
      <c r="I22" s="43">
        <f t="shared" si="23"/>
        <v>-20</v>
      </c>
      <c r="J22" s="42">
        <f t="shared" si="24"/>
        <v>3</v>
      </c>
      <c r="L22" s="66" t="s">
        <v>60</v>
      </c>
      <c r="M22" s="67"/>
      <c r="N22" s="67"/>
      <c r="O22" s="67"/>
      <c r="P22" s="67"/>
      <c r="Q22" s="67"/>
      <c r="R22" s="67"/>
      <c r="S22" s="67"/>
      <c r="T22" s="67"/>
      <c r="U22" s="67"/>
    </row>
    <row r="23" spans="2:21" ht="12.75" x14ac:dyDescent="0.2">
      <c r="L23" s="66" t="s">
        <v>62</v>
      </c>
      <c r="M23" s="67"/>
      <c r="N23" s="67"/>
      <c r="O23" s="67"/>
      <c r="P23" s="67"/>
      <c r="Q23" s="67"/>
      <c r="R23" s="67"/>
      <c r="S23" s="67"/>
      <c r="T23" s="67"/>
      <c r="U23" s="67"/>
    </row>
    <row r="24" spans="2:21" x14ac:dyDescent="0.2">
      <c r="B24" s="63" t="s">
        <v>133</v>
      </c>
      <c r="C24" s="64"/>
      <c r="D24" s="64"/>
      <c r="E24" s="64"/>
      <c r="F24" s="64"/>
      <c r="G24" s="64"/>
      <c r="H24" s="64"/>
      <c r="I24" s="64"/>
      <c r="J24" s="65"/>
      <c r="L24" s="66" t="s">
        <v>63</v>
      </c>
      <c r="M24" s="67"/>
      <c r="N24" s="67"/>
      <c r="O24" s="67"/>
      <c r="P24" s="67"/>
      <c r="Q24" s="67"/>
      <c r="R24" s="67"/>
      <c r="S24" s="67"/>
      <c r="T24" s="67"/>
      <c r="U24" s="67"/>
    </row>
    <row r="25" spans="2:21" ht="12.75" x14ac:dyDescent="0.2">
      <c r="B25" s="40" t="s">
        <v>27</v>
      </c>
      <c r="C25" s="40" t="s">
        <v>28</v>
      </c>
      <c r="D25" s="40" t="s">
        <v>29</v>
      </c>
      <c r="E25" s="40" t="s">
        <v>30</v>
      </c>
      <c r="F25" s="40" t="s">
        <v>31</v>
      </c>
      <c r="G25" s="40" t="s">
        <v>32</v>
      </c>
      <c r="H25" s="40" t="s">
        <v>33</v>
      </c>
      <c r="I25" s="40" t="s">
        <v>34</v>
      </c>
      <c r="J25" s="40" t="s">
        <v>35</v>
      </c>
    </row>
    <row r="26" spans="2:21" ht="12.75" x14ac:dyDescent="0.2">
      <c r="B26" s="41">
        <v>1</v>
      </c>
      <c r="C26" s="41" t="str">
        <f>"Команда 1 (" &amp; 'Группа 2'!E24 &amp; " / " &amp; 'Группа 2'!E25 &amp; ")"</f>
        <v>Команда 1 (Сторожук Микола Миколайович / Нестерчук Вадим Миколайович)</v>
      </c>
      <c r="D26" s="42">
        <f t="shared" ref="D26:D28" si="25">COUNTIFS($C$60:$C$62, C26, $I$60:$I$62, "Завершено") + COUNTIFS($G$60:$G$62, C26, $I$60:$I$62, "Завершено")</f>
        <v>2</v>
      </c>
      <c r="E26" s="42">
        <f t="shared" ref="E26:E28" si="26">COUNTIF($H$60:$H$62, C26)</f>
        <v>2</v>
      </c>
      <c r="F26" s="42">
        <f t="shared" ref="F26:F28" si="27">D26 - E26</f>
        <v>0</v>
      </c>
      <c r="G26" s="42">
        <f t="shared" ref="G26:G28" si="28">SUMIF($C$60:$C$62, C26, $D$60:$D$62) + SUMIF($G$60:$G$62, C26, $F$60:$F$62)</f>
        <v>22</v>
      </c>
      <c r="H26" s="42">
        <f t="shared" ref="H26:H28" si="29">SUMIF($C$60:$C$62, C26, $F$60:$F$62) + SUMIF($G$60:$G$62, C26, $D$60:$D$62)</f>
        <v>7</v>
      </c>
      <c r="I26" s="43">
        <f t="shared" ref="I26:I28" si="30">G26 - H26</f>
        <v>15</v>
      </c>
      <c r="J26" s="42">
        <f t="shared" ref="J26:J28" si="31">IF(SUM($D$26:$D$28)=0, "—", 1 + COUNTIFS($E$26:$E$28, "&gt;"&amp;E26) + COUNTIFS($E$26:$E$28, E26, $I$26:$I$28, "&gt;"&amp;I26) + COUNTIFS($E$26:$E$28, E26, $I$26:$I$28, I26, $G$26:$G$28, "&gt;"&amp;G26))</f>
        <v>1</v>
      </c>
    </row>
    <row r="27" spans="2:21" ht="12.75" x14ac:dyDescent="0.2">
      <c r="B27" s="41">
        <v>2</v>
      </c>
      <c r="C27" s="41" t="str">
        <f>"Команда 6 (" &amp; 'Группа 2'!E26 &amp; " / " &amp; 'Группа 2'!E27 &amp; ")"</f>
        <v>Команда 6 (Глухов Андрій Валерійович / Змієвський Станіслав Валерійович)</v>
      </c>
      <c r="D27" s="42">
        <f t="shared" si="25"/>
        <v>2</v>
      </c>
      <c r="E27" s="42">
        <f t="shared" si="26"/>
        <v>1</v>
      </c>
      <c r="F27" s="42">
        <f t="shared" si="27"/>
        <v>1</v>
      </c>
      <c r="G27" s="42">
        <f t="shared" si="28"/>
        <v>13</v>
      </c>
      <c r="H27" s="42">
        <f t="shared" si="29"/>
        <v>13</v>
      </c>
      <c r="I27" s="43">
        <f t="shared" si="30"/>
        <v>0</v>
      </c>
      <c r="J27" s="42">
        <f t="shared" si="31"/>
        <v>2</v>
      </c>
    </row>
    <row r="28" spans="2:21" ht="12.75" x14ac:dyDescent="0.2">
      <c r="B28" s="41">
        <v>3</v>
      </c>
      <c r="C28" s="41" t="str">
        <f>"Команда 8 (" &amp; 'Группа 2'!E28 &amp; " / " &amp; 'Группа 2'!E29 &amp; ")"</f>
        <v>Команда 8 (Камінський Владислав Олесьович / Дідик Сергій Станіславович)</v>
      </c>
      <c r="D28" s="42">
        <f t="shared" si="25"/>
        <v>2</v>
      </c>
      <c r="E28" s="42">
        <f t="shared" si="26"/>
        <v>0</v>
      </c>
      <c r="F28" s="42">
        <f t="shared" si="27"/>
        <v>2</v>
      </c>
      <c r="G28" s="42">
        <f t="shared" si="28"/>
        <v>7</v>
      </c>
      <c r="H28" s="42">
        <f t="shared" si="29"/>
        <v>22</v>
      </c>
      <c r="I28" s="43">
        <f t="shared" si="30"/>
        <v>-15</v>
      </c>
      <c r="J28" s="42">
        <f t="shared" si="31"/>
        <v>3</v>
      </c>
    </row>
    <row r="30" spans="2:21" x14ac:dyDescent="0.2">
      <c r="B30" s="68" t="s">
        <v>134</v>
      </c>
      <c r="C30" s="67"/>
      <c r="D30" s="67"/>
      <c r="E30" s="67"/>
      <c r="F30" s="67"/>
      <c r="G30" s="67"/>
      <c r="H30" s="67"/>
      <c r="I30" s="67"/>
      <c r="J30" s="67"/>
      <c r="L30" s="69" t="s">
        <v>135</v>
      </c>
      <c r="M30" s="67"/>
      <c r="N30" s="67"/>
      <c r="O30" s="67"/>
      <c r="P30" s="67"/>
      <c r="Q30" s="67"/>
    </row>
    <row r="31" spans="2:21" ht="12.75" x14ac:dyDescent="0.2">
      <c r="L31" s="40" t="s">
        <v>35</v>
      </c>
      <c r="M31" s="40" t="s">
        <v>73</v>
      </c>
      <c r="N31" s="70" t="s">
        <v>74</v>
      </c>
      <c r="O31" s="64"/>
      <c r="P31" s="64"/>
      <c r="Q31" s="65"/>
    </row>
    <row r="32" spans="2:21" ht="12.75" x14ac:dyDescent="0.2">
      <c r="L32" s="42" t="s">
        <v>76</v>
      </c>
      <c r="M32" s="42" t="s">
        <v>54</v>
      </c>
      <c r="N32" s="71" t="str">
        <f>IF(S16="—","Визначається у фіналі",S16)</f>
        <v>Команда 2 (Салабай Олександр / Шульга Андрей)</v>
      </c>
      <c r="O32" s="64"/>
      <c r="P32" s="64"/>
      <c r="Q32" s="65"/>
    </row>
    <row r="33" spans="2:18" ht="12.75" x14ac:dyDescent="0.2">
      <c r="L33" s="42" t="s">
        <v>77</v>
      </c>
      <c r="M33" s="42" t="s">
        <v>78</v>
      </c>
      <c r="N33" s="71" t="str">
        <f>IF(AND(ISNUMBER(O16),ISNUMBER(Q16)),IF(O16&lt;Q16,N16,R16),"Визначається у фіналі")</f>
        <v>Команда 1 (Сторожук Микола Миколайович / Нестерчук Вадим Миколайович)</v>
      </c>
      <c r="O33" s="64"/>
      <c r="P33" s="64"/>
      <c r="Q33" s="65"/>
    </row>
    <row r="34" spans="2:18" x14ac:dyDescent="0.2">
      <c r="B34" s="63" t="s">
        <v>64</v>
      </c>
      <c r="C34" s="64"/>
      <c r="D34" s="64"/>
      <c r="E34" s="64"/>
      <c r="F34" s="64"/>
      <c r="G34" s="64"/>
      <c r="H34" s="64"/>
      <c r="I34" s="64"/>
      <c r="J34" s="65"/>
      <c r="L34" s="42" t="s">
        <v>80</v>
      </c>
      <c r="M34" s="42" t="s">
        <v>51</v>
      </c>
      <c r="N34" s="71" t="str">
        <f>IF(S14="—","Визначається у матчі за 3-тє місце",S14)</f>
        <v>Команда 4 (Тарарака Олексій Борисович / Татаров Руслан Сергійович)</v>
      </c>
      <c r="O34" s="64"/>
      <c r="P34" s="64"/>
      <c r="Q34" s="65"/>
    </row>
    <row r="35" spans="2:18" ht="12.75" x14ac:dyDescent="0.2">
      <c r="B35" s="40" t="s">
        <v>37</v>
      </c>
      <c r="C35" s="40" t="s">
        <v>38</v>
      </c>
      <c r="D35" s="40" t="s">
        <v>39</v>
      </c>
      <c r="E35" s="40" t="s">
        <v>40</v>
      </c>
      <c r="F35" s="40" t="s">
        <v>41</v>
      </c>
      <c r="G35" s="40" t="s">
        <v>42</v>
      </c>
      <c r="H35" s="40" t="s">
        <v>43</v>
      </c>
      <c r="I35" s="40" t="s">
        <v>44</v>
      </c>
      <c r="J35" s="40" t="s">
        <v>65</v>
      </c>
    </row>
    <row r="36" spans="2:18" ht="15" x14ac:dyDescent="0.2">
      <c r="B36" s="41" t="s">
        <v>66</v>
      </c>
      <c r="C36" s="41" t="str">
        <f>C6</f>
        <v>Команда 3 (Концевой Сергій Миколайович / Парфенюк Сергій Олександрович)</v>
      </c>
      <c r="D36" s="44">
        <v>11</v>
      </c>
      <c r="E36" s="41" t="s">
        <v>40</v>
      </c>
      <c r="F36" s="44">
        <v>0</v>
      </c>
      <c r="G36" s="45" t="str">
        <f>C7</f>
        <v>Команда 11 (Пазиніч Сергій Анатолійович / Олейник Юрій Валерійович)</v>
      </c>
      <c r="H36" s="41" t="str">
        <f t="shared" ref="H36:H41" si="32">IF(OR(ISBLANK(D36),ISBLANK(F36)),"—",IF(D36&gt;F36,C36,IF(F36&gt;D36,G36,"Нічия")))</f>
        <v>Команда 3 (Концевой Сергій Миколайович / Парфенюк Сергій Олександрович)</v>
      </c>
      <c r="I36" s="41" t="str">
        <f t="shared" ref="I36:I41" si="33">IF(OR(ISBLANK(D36),ISBLANK(F36)),"Очікується","Завершено")</f>
        <v>Завершено</v>
      </c>
      <c r="J36" s="41">
        <f t="shared" ref="J36:J41" si="34">IF(OR(ISBLANK(D36),ISBLANK(F36)),"—",ABS(D36-F36))</f>
        <v>11</v>
      </c>
    </row>
    <row r="37" spans="2:18" ht="15" x14ac:dyDescent="0.2">
      <c r="B37" s="41" t="s">
        <v>67</v>
      </c>
      <c r="C37" s="41" t="str">
        <f>C8</f>
        <v>Команда 12 (Делігіоз Андрій Георгійович / Цап Олег)</v>
      </c>
      <c r="D37" s="46">
        <v>0</v>
      </c>
      <c r="E37" s="41" t="s">
        <v>40</v>
      </c>
      <c r="F37" s="44">
        <v>11</v>
      </c>
      <c r="G37" s="41" t="str">
        <f>C9</f>
        <v>Команда 13 (Фещук Данило Олександрович / Гиряк Роман Михайлович)</v>
      </c>
      <c r="H37" s="41" t="str">
        <f t="shared" si="32"/>
        <v>Команда 13 (Фещук Данило Олександрович / Гиряк Роман Михайлович)</v>
      </c>
      <c r="I37" s="41" t="str">
        <f t="shared" si="33"/>
        <v>Завершено</v>
      </c>
      <c r="J37" s="41">
        <f t="shared" si="34"/>
        <v>11</v>
      </c>
    </row>
    <row r="38" spans="2:18" ht="15" x14ac:dyDescent="0.2">
      <c r="B38" s="41" t="s">
        <v>68</v>
      </c>
      <c r="C38" s="41" t="str">
        <f t="shared" ref="C38:C39" si="35">C6</f>
        <v>Команда 3 (Концевой Сергій Миколайович / Парфенюк Сергій Олександрович)</v>
      </c>
      <c r="D38" s="46">
        <v>11</v>
      </c>
      <c r="E38" s="41" t="s">
        <v>40</v>
      </c>
      <c r="F38" s="44">
        <v>3</v>
      </c>
      <c r="G38" s="41" t="str">
        <f t="shared" ref="G38:G39" si="36">C8</f>
        <v>Команда 12 (Делігіоз Андрій Георгійович / Цап Олег)</v>
      </c>
      <c r="H38" s="41" t="str">
        <f t="shared" si="32"/>
        <v>Команда 3 (Концевой Сергій Миколайович / Парфенюк Сергій Олександрович)</v>
      </c>
      <c r="I38" s="41" t="str">
        <f t="shared" si="33"/>
        <v>Завершено</v>
      </c>
      <c r="J38" s="41">
        <f t="shared" si="34"/>
        <v>8</v>
      </c>
    </row>
    <row r="39" spans="2:18" ht="15" x14ac:dyDescent="0.2">
      <c r="B39" s="41" t="s">
        <v>69</v>
      </c>
      <c r="C39" s="45" t="str">
        <f t="shared" si="35"/>
        <v>Команда 11 (Пазиніч Сергій Анатолійович / Олейник Юрій Валерійович)</v>
      </c>
      <c r="D39" s="44">
        <v>0</v>
      </c>
      <c r="E39" s="41" t="s">
        <v>40</v>
      </c>
      <c r="F39" s="44">
        <v>11</v>
      </c>
      <c r="G39" s="41" t="str">
        <f t="shared" si="36"/>
        <v>Команда 13 (Фещук Данило Олександрович / Гиряк Роман Михайлович)</v>
      </c>
      <c r="H39" s="41" t="str">
        <f t="shared" si="32"/>
        <v>Команда 13 (Фещук Данило Олександрович / Гиряк Роман Михайлович)</v>
      </c>
      <c r="I39" s="41" t="str">
        <f t="shared" si="33"/>
        <v>Завершено</v>
      </c>
      <c r="J39" s="41">
        <f t="shared" si="34"/>
        <v>11</v>
      </c>
    </row>
    <row r="40" spans="2:18" ht="15" x14ac:dyDescent="0.2">
      <c r="B40" s="41" t="s">
        <v>70</v>
      </c>
      <c r="C40" s="41" t="str">
        <f t="shared" ref="C40:C41" si="37">C6</f>
        <v>Команда 3 (Концевой Сергій Миколайович / Парфенюк Сергій Олександрович)</v>
      </c>
      <c r="D40" s="46">
        <v>11</v>
      </c>
      <c r="E40" s="41" t="s">
        <v>40</v>
      </c>
      <c r="F40" s="44">
        <v>7</v>
      </c>
      <c r="G40" s="41" t="str">
        <f>C9</f>
        <v>Команда 13 (Фещук Данило Олександрович / Гиряк Роман Михайлович)</v>
      </c>
      <c r="H40" s="41" t="str">
        <f t="shared" si="32"/>
        <v>Команда 3 (Концевой Сергій Миколайович / Парфенюк Сергій Олександрович)</v>
      </c>
      <c r="I40" s="41" t="str">
        <f t="shared" si="33"/>
        <v>Завершено</v>
      </c>
      <c r="J40" s="41">
        <f t="shared" si="34"/>
        <v>4</v>
      </c>
    </row>
    <row r="41" spans="2:18" ht="15" x14ac:dyDescent="0.2">
      <c r="B41" s="41" t="s">
        <v>71</v>
      </c>
      <c r="C41" s="45" t="str">
        <f t="shared" si="37"/>
        <v>Команда 11 (Пазиніч Сергій Анатолійович / Олейник Юрій Валерійович)</v>
      </c>
      <c r="D41" s="44">
        <v>0</v>
      </c>
      <c r="E41" s="41" t="s">
        <v>40</v>
      </c>
      <c r="F41" s="44">
        <v>11</v>
      </c>
      <c r="G41" s="41" t="str">
        <f>C8</f>
        <v>Команда 12 (Делігіоз Андрій Георгійович / Цап Олег)</v>
      </c>
      <c r="H41" s="41" t="str">
        <f t="shared" si="32"/>
        <v>Команда 12 (Делігіоз Андрій Георгійович / Цап Олег)</v>
      </c>
      <c r="I41" s="41" t="str">
        <f t="shared" si="33"/>
        <v>Завершено</v>
      </c>
      <c r="J41" s="41">
        <f t="shared" si="34"/>
        <v>11</v>
      </c>
    </row>
    <row r="43" spans="2:18" x14ac:dyDescent="0.2">
      <c r="B43" s="63" t="s">
        <v>75</v>
      </c>
      <c r="C43" s="64"/>
      <c r="D43" s="64"/>
      <c r="E43" s="64"/>
      <c r="F43" s="64"/>
      <c r="G43" s="64"/>
      <c r="H43" s="64"/>
      <c r="I43" s="64"/>
      <c r="J43" s="65"/>
    </row>
    <row r="44" spans="2:18" ht="12.75" x14ac:dyDescent="0.2">
      <c r="B44" s="40" t="s">
        <v>37</v>
      </c>
      <c r="C44" s="40" t="s">
        <v>38</v>
      </c>
      <c r="D44" s="40" t="s">
        <v>39</v>
      </c>
      <c r="E44" s="40" t="s">
        <v>40</v>
      </c>
      <c r="F44" s="40" t="s">
        <v>41</v>
      </c>
      <c r="G44" s="40" t="s">
        <v>42</v>
      </c>
      <c r="H44" s="40" t="s">
        <v>43</v>
      </c>
      <c r="I44" s="40" t="s">
        <v>44</v>
      </c>
      <c r="J44" s="40" t="s">
        <v>65</v>
      </c>
      <c r="N44" s="28" t="s">
        <v>136</v>
      </c>
      <c r="O44" s="28">
        <v>11</v>
      </c>
      <c r="Q44" s="28">
        <v>2</v>
      </c>
      <c r="R44" s="28" t="s">
        <v>137</v>
      </c>
    </row>
    <row r="45" spans="2:18" ht="15" x14ac:dyDescent="0.2">
      <c r="B45" s="41" t="s">
        <v>79</v>
      </c>
      <c r="C45" s="41" t="str">
        <f>C13</f>
        <v>Команда 4 (Тарарака Олексій Борисович / Татаров Руслан Сергійович)</v>
      </c>
      <c r="D45" s="46">
        <v>11</v>
      </c>
      <c r="E45" s="41" t="s">
        <v>40</v>
      </c>
      <c r="F45" s="44">
        <v>13</v>
      </c>
      <c r="G45" s="41" t="str">
        <f>C14</f>
        <v>Команда 7 (Орєшин Микола Семенович / Грибонос Олександр Володиморович)</v>
      </c>
      <c r="H45" s="41" t="str">
        <f t="shared" ref="H45:H50" si="38">IF(OR(ISBLANK(D45),ISBLANK(F45)),"—",IF(D45&gt;F45,C45,IF(F45&gt;D45,G45,"Нічия")))</f>
        <v>Команда 7 (Орєшин Микола Семенович / Грибонос Олександр Володиморович)</v>
      </c>
      <c r="I45" s="41" t="str">
        <f t="shared" ref="I45:I50" si="39">IF(OR(ISBLANK(D45),ISBLANK(F45)),"Очікується","Завершено")</f>
        <v>Завершено</v>
      </c>
      <c r="J45" s="41">
        <f t="shared" ref="J45:J50" si="40">IF(OR(ISBLANK(D45),ISBLANK(F45)),"—",ABS(D45-F45))</f>
        <v>2</v>
      </c>
      <c r="O45" s="28">
        <v>11</v>
      </c>
      <c r="Q45" s="28">
        <v>4</v>
      </c>
    </row>
    <row r="46" spans="2:18" ht="15" x14ac:dyDescent="0.2">
      <c r="B46" s="41" t="s">
        <v>81</v>
      </c>
      <c r="C46" s="45" t="str">
        <f>C15</f>
        <v>Команда 9 (Горковець Андрій Георгійович / Толкачов Сергій Вікторович)</v>
      </c>
      <c r="D46" s="44">
        <v>0</v>
      </c>
      <c r="E46" s="41" t="s">
        <v>40</v>
      </c>
      <c r="F46" s="44">
        <v>11</v>
      </c>
      <c r="G46" s="41" t="str">
        <f>C16</f>
        <v>Команда 14 (Трач Ігор Іванович / Дучєв Максим Палович)</v>
      </c>
      <c r="H46" s="41" t="str">
        <f t="shared" si="38"/>
        <v>Команда 14 (Трач Ігор Іванович / Дучєв Максим Палович)</v>
      </c>
      <c r="I46" s="41" t="str">
        <f t="shared" si="39"/>
        <v>Завершено</v>
      </c>
      <c r="J46" s="41">
        <f t="shared" si="40"/>
        <v>11</v>
      </c>
    </row>
    <row r="47" spans="2:18" ht="15" x14ac:dyDescent="0.2">
      <c r="B47" s="41" t="s">
        <v>82</v>
      </c>
      <c r="C47" s="41" t="str">
        <f t="shared" ref="C47:C48" si="41">C13</f>
        <v>Команда 4 (Тарарака Олексій Борисович / Татаров Руслан Сергійович)</v>
      </c>
      <c r="D47" s="44">
        <v>11</v>
      </c>
      <c r="E47" s="41" t="s">
        <v>40</v>
      </c>
      <c r="F47" s="44">
        <v>0</v>
      </c>
      <c r="G47" s="45" t="str">
        <f t="shared" ref="G47:G48" si="42">C15</f>
        <v>Команда 9 (Горковець Андрій Георгійович / Толкачов Сергій Вікторович)</v>
      </c>
      <c r="H47" s="41" t="str">
        <f t="shared" si="38"/>
        <v>Команда 4 (Тарарака Олексій Борисович / Татаров Руслан Сергійович)</v>
      </c>
      <c r="I47" s="41" t="str">
        <f t="shared" si="39"/>
        <v>Завершено</v>
      </c>
      <c r="J47" s="41">
        <f t="shared" si="40"/>
        <v>11</v>
      </c>
      <c r="N47" s="28" t="s">
        <v>138</v>
      </c>
      <c r="O47" s="28">
        <v>11</v>
      </c>
      <c r="Q47" s="28">
        <v>2</v>
      </c>
      <c r="R47" s="28" t="s">
        <v>139</v>
      </c>
    </row>
    <row r="48" spans="2:18" ht="15" x14ac:dyDescent="0.2">
      <c r="B48" s="41" t="s">
        <v>83</v>
      </c>
      <c r="C48" s="41" t="str">
        <f t="shared" si="41"/>
        <v>Команда 7 (Орєшин Микола Семенович / Грибонос Олександр Володиморович)</v>
      </c>
      <c r="D48" s="46">
        <v>11</v>
      </c>
      <c r="E48" s="41" t="s">
        <v>40</v>
      </c>
      <c r="F48" s="44">
        <v>4</v>
      </c>
      <c r="G48" s="41" t="str">
        <f t="shared" si="42"/>
        <v>Команда 14 (Трач Ігор Іванович / Дучєв Максим Палович)</v>
      </c>
      <c r="H48" s="41" t="str">
        <f t="shared" si="38"/>
        <v>Команда 7 (Орєшин Микола Семенович / Грибонос Олександр Володиморович)</v>
      </c>
      <c r="I48" s="41" t="str">
        <f t="shared" si="39"/>
        <v>Завершено</v>
      </c>
      <c r="J48" s="41">
        <f t="shared" si="40"/>
        <v>7</v>
      </c>
      <c r="O48" s="28">
        <v>11</v>
      </c>
      <c r="Q48" s="28">
        <v>5</v>
      </c>
    </row>
    <row r="49" spans="2:18" ht="15" x14ac:dyDescent="0.2">
      <c r="B49" s="41" t="s">
        <v>84</v>
      </c>
      <c r="C49" s="41" t="str">
        <f t="shared" ref="C49:C50" si="43">C13</f>
        <v>Команда 4 (Тарарака Олексій Борисович / Татаров Руслан Сергійович)</v>
      </c>
      <c r="D49" s="46">
        <v>11</v>
      </c>
      <c r="E49" s="41" t="s">
        <v>40</v>
      </c>
      <c r="F49" s="44">
        <v>0</v>
      </c>
      <c r="G49" s="41" t="str">
        <f>C16</f>
        <v>Команда 14 (Трач Ігор Іванович / Дучєв Максим Палович)</v>
      </c>
      <c r="H49" s="41" t="str">
        <f t="shared" si="38"/>
        <v>Команда 4 (Тарарака Олексій Борисович / Татаров Руслан Сергійович)</v>
      </c>
      <c r="I49" s="41" t="str">
        <f t="shared" si="39"/>
        <v>Завершено</v>
      </c>
      <c r="J49" s="41">
        <f t="shared" si="40"/>
        <v>11</v>
      </c>
    </row>
    <row r="50" spans="2:18" ht="15" x14ac:dyDescent="0.2">
      <c r="B50" s="41" t="s">
        <v>85</v>
      </c>
      <c r="C50" s="41" t="str">
        <f t="shared" si="43"/>
        <v>Команда 7 (Орєшин Микола Семенович / Грибонос Олександр Володиморович)</v>
      </c>
      <c r="D50" s="44">
        <v>11</v>
      </c>
      <c r="E50" s="41" t="s">
        <v>40</v>
      </c>
      <c r="F50" s="44">
        <v>0</v>
      </c>
      <c r="G50" s="45" t="str">
        <f>C15</f>
        <v>Команда 9 (Горковець Андрій Георгійович / Толкачов Сергій Вікторович)</v>
      </c>
      <c r="H50" s="41" t="str">
        <f t="shared" si="38"/>
        <v>Команда 7 (Орєшин Микола Семенович / Грибонос Олександр Володиморович)</v>
      </c>
      <c r="I50" s="41" t="str">
        <f t="shared" si="39"/>
        <v>Завершено</v>
      </c>
      <c r="J50" s="41">
        <f t="shared" si="40"/>
        <v>11</v>
      </c>
    </row>
    <row r="51" spans="2:18" ht="12.75" x14ac:dyDescent="0.2">
      <c r="N51" s="41" t="str">
        <f t="array" ref="N51">IFERROR(INDEX($C$6:$C$9, MATCH(1, $J$6:$J$9, 0)), "1-ше місце Групи 1")</f>
        <v>Команда 3 (Концевой Сергій Миколайович / Парфенюк Сергій Олександрович)</v>
      </c>
      <c r="P51" s="28">
        <v>8</v>
      </c>
      <c r="Q51" s="28">
        <v>11</v>
      </c>
      <c r="R51" s="41" t="str">
        <f t="array" ref="R51">IFERROR(INDEX($C$13:$C$16, MATCH(2, $J$13:$J$16, 0)), "2-ге місце Групи 2")</f>
        <v>Команда 4 (Тарарака Олексій Борисович / Татаров Руслан Сергійович)</v>
      </c>
    </row>
    <row r="52" spans="2:18" x14ac:dyDescent="0.2">
      <c r="B52" s="63" t="s">
        <v>140</v>
      </c>
      <c r="C52" s="64"/>
      <c r="D52" s="64"/>
      <c r="E52" s="64"/>
      <c r="F52" s="64"/>
      <c r="G52" s="64"/>
      <c r="H52" s="64"/>
      <c r="I52" s="64"/>
      <c r="J52" s="65"/>
      <c r="P52" s="28">
        <v>11</v>
      </c>
      <c r="Q52" s="28">
        <v>7</v>
      </c>
    </row>
    <row r="53" spans="2:18" ht="12.75" x14ac:dyDescent="0.2">
      <c r="B53" s="40" t="s">
        <v>37</v>
      </c>
      <c r="C53" s="40" t="s">
        <v>38</v>
      </c>
      <c r="D53" s="40" t="s">
        <v>39</v>
      </c>
      <c r="E53" s="40" t="s">
        <v>40</v>
      </c>
      <c r="F53" s="40" t="s">
        <v>41</v>
      </c>
      <c r="G53" s="40" t="s">
        <v>42</v>
      </c>
      <c r="H53" s="40" t="s">
        <v>43</v>
      </c>
      <c r="I53" s="40" t="s">
        <v>44</v>
      </c>
      <c r="J53" s="40" t="s">
        <v>65</v>
      </c>
      <c r="P53" s="28">
        <v>3</v>
      </c>
      <c r="Q53" s="28">
        <v>11</v>
      </c>
    </row>
    <row r="54" spans="2:18" ht="15" x14ac:dyDescent="0.2">
      <c r="B54" s="41" t="s">
        <v>141</v>
      </c>
      <c r="C54" s="41" t="str">
        <f>C20</f>
        <v>Команда 2 (Салабай Олександр / Шульга Андрей)</v>
      </c>
      <c r="D54" s="46">
        <v>11</v>
      </c>
      <c r="E54" s="41" t="s">
        <v>40</v>
      </c>
      <c r="F54" s="44">
        <v>5</v>
      </c>
      <c r="G54" s="41" t="str">
        <f t="shared" ref="G54:G55" si="44">C21</f>
        <v>Команда 5 (Прокопович Сергій Михайлович / Кравцов Олександр Сергійович)</v>
      </c>
      <c r="H54" s="41" t="str">
        <f t="shared" ref="H54:H56" si="45">IF(OR(ISBLANK(D54),ISBLANK(F54)),"—",IF(D54&gt;F54,C54,IF(F54&gt;D54,G54,"Нічия")))</f>
        <v>Команда 2 (Салабай Олександр / Шульга Андрей)</v>
      </c>
      <c r="I54" s="41" t="str">
        <f t="shared" ref="I54:I56" si="46">IF(OR(ISBLANK(D54),ISBLANK(F54)),"Очікується","Завершено")</f>
        <v>Завершено</v>
      </c>
      <c r="J54" s="41">
        <f t="shared" ref="J54:J56" si="47">IF(OR(ISBLANK(D54),ISBLANK(F54)),"—",ABS(D54-F54))</f>
        <v>6</v>
      </c>
    </row>
    <row r="55" spans="2:18" ht="15" x14ac:dyDescent="0.2">
      <c r="B55" s="41" t="s">
        <v>142</v>
      </c>
      <c r="C55" s="41" t="str">
        <f t="shared" ref="C55:C56" si="48">C20</f>
        <v>Команда 2 (Салабай Олександр / Шульга Андрей)</v>
      </c>
      <c r="D55" s="46">
        <v>11</v>
      </c>
      <c r="E55" s="41" t="s">
        <v>40</v>
      </c>
      <c r="F55" s="44">
        <v>0</v>
      </c>
      <c r="G55" s="41" t="str">
        <f t="shared" si="44"/>
        <v>Команда 10 (Кривонос Андрій Миколайович / Мазур Володімір)</v>
      </c>
      <c r="H55" s="41" t="str">
        <f t="shared" si="45"/>
        <v>Команда 2 (Салабай Олександр / Шульга Андрей)</v>
      </c>
      <c r="I55" s="41" t="str">
        <f t="shared" si="46"/>
        <v>Завершено</v>
      </c>
      <c r="J55" s="41">
        <f t="shared" si="47"/>
        <v>11</v>
      </c>
      <c r="N55" s="41" t="str">
        <f t="array" ref="N55">IFERROR(INDEX($C$13:$C$16, MATCH(1, $J$13:$J$16, 0)), "1-ше місце Групи 2")</f>
        <v>Команда 7 (Орєшин Микола Семенович / Грибонос Олександр Володиморович)</v>
      </c>
      <c r="P55" s="28">
        <v>11</v>
      </c>
      <c r="Q55" s="28">
        <v>13</v>
      </c>
      <c r="R55" s="41" t="str">
        <f t="array" ref="R55">IFERROR(INDEX($C$6:$C$9, MATCH(2, $J$6:$J$9, 0)), "2-ге місце Групи 1")</f>
        <v>Команда 13 (Фещук Данило Олександрович / Гиряк Роман Михайлович)</v>
      </c>
    </row>
    <row r="56" spans="2:18" ht="15" x14ac:dyDescent="0.2">
      <c r="B56" s="41" t="s">
        <v>143</v>
      </c>
      <c r="C56" s="41" t="str">
        <f t="shared" si="48"/>
        <v>Команда 5 (Прокопович Сергій Михайлович / Кравцов Олександр Сергійович)</v>
      </c>
      <c r="D56" s="46">
        <v>11</v>
      </c>
      <c r="E56" s="41" t="s">
        <v>40</v>
      </c>
      <c r="F56" s="44">
        <v>2</v>
      </c>
      <c r="G56" s="41" t="str">
        <f>C22</f>
        <v>Команда 10 (Кривонос Андрій Миколайович / Мазур Володімір)</v>
      </c>
      <c r="H56" s="41" t="str">
        <f t="shared" si="45"/>
        <v>Команда 5 (Прокопович Сергій Михайлович / Кравцов Олександр Сергійович)</v>
      </c>
      <c r="I56" s="41" t="str">
        <f t="shared" si="46"/>
        <v>Завершено</v>
      </c>
      <c r="J56" s="41">
        <f t="shared" si="47"/>
        <v>9</v>
      </c>
      <c r="P56" s="28">
        <v>8</v>
      </c>
      <c r="Q56" s="28">
        <v>11</v>
      </c>
    </row>
    <row r="58" spans="2:18" x14ac:dyDescent="0.2">
      <c r="B58" s="63" t="s">
        <v>144</v>
      </c>
      <c r="C58" s="64"/>
      <c r="D58" s="64"/>
      <c r="E58" s="64"/>
      <c r="F58" s="64"/>
      <c r="G58" s="64"/>
      <c r="H58" s="64"/>
      <c r="I58" s="64"/>
      <c r="J58" s="65"/>
    </row>
    <row r="59" spans="2:18" ht="12.75" x14ac:dyDescent="0.2">
      <c r="B59" s="40" t="s">
        <v>37</v>
      </c>
      <c r="C59" s="40" t="s">
        <v>38</v>
      </c>
      <c r="D59" s="40" t="s">
        <v>39</v>
      </c>
      <c r="E59" s="40" t="s">
        <v>40</v>
      </c>
      <c r="F59" s="40" t="s">
        <v>41</v>
      </c>
      <c r="G59" s="40" t="s">
        <v>42</v>
      </c>
      <c r="H59" s="40" t="s">
        <v>43</v>
      </c>
      <c r="I59" s="40" t="s">
        <v>44</v>
      </c>
      <c r="J59" s="40" t="s">
        <v>65</v>
      </c>
    </row>
    <row r="60" spans="2:18" ht="15" x14ac:dyDescent="0.2">
      <c r="B60" s="41" t="s">
        <v>145</v>
      </c>
      <c r="C60" s="41" t="str">
        <f>C26</f>
        <v>Команда 1 (Сторожук Микола Миколайович / Нестерчук Вадим Миколайович)</v>
      </c>
      <c r="D60" s="46">
        <v>11</v>
      </c>
      <c r="E60" s="41" t="s">
        <v>40</v>
      </c>
      <c r="F60" s="44">
        <v>2</v>
      </c>
      <c r="G60" s="41" t="str">
        <f t="shared" ref="G60:G61" si="49">C27</f>
        <v>Команда 6 (Глухов Андрій Валерійович / Змієвський Станіслав Валерійович)</v>
      </c>
      <c r="H60" s="41" t="str">
        <f t="shared" ref="H60:H62" si="50">IF(OR(ISBLANK(D60),ISBLANK(F60)),"—",IF(D60&gt;F60,C60,IF(F60&gt;D60,G60,"Нічия")))</f>
        <v>Команда 1 (Сторожук Микола Миколайович / Нестерчук Вадим Миколайович)</v>
      </c>
      <c r="I60" s="41" t="str">
        <f t="shared" ref="I60:I62" si="51">IF(OR(ISBLANK(D60),ISBLANK(F60)),"Очікується","Завершено")</f>
        <v>Завершено</v>
      </c>
      <c r="J60" s="41">
        <f t="shared" ref="J60:J62" si="52">IF(OR(ISBLANK(D60),ISBLANK(F60)),"—",ABS(D60-F60))</f>
        <v>9</v>
      </c>
      <c r="N60" s="28" t="s">
        <v>146</v>
      </c>
      <c r="P60" s="28">
        <v>11</v>
      </c>
      <c r="Q60" s="28">
        <v>9</v>
      </c>
      <c r="R60" s="28" t="s">
        <v>136</v>
      </c>
    </row>
    <row r="61" spans="2:18" ht="15" x14ac:dyDescent="0.2">
      <c r="B61" s="41" t="s">
        <v>147</v>
      </c>
      <c r="C61" s="41" t="str">
        <f t="shared" ref="C61:C62" si="53">C26</f>
        <v>Команда 1 (Сторожук Микола Миколайович / Нестерчук Вадим Миколайович)</v>
      </c>
      <c r="D61" s="46">
        <v>11</v>
      </c>
      <c r="E61" s="41" t="s">
        <v>40</v>
      </c>
      <c r="F61" s="44">
        <v>5</v>
      </c>
      <c r="G61" s="41" t="str">
        <f t="shared" si="49"/>
        <v>Команда 8 (Камінський Владислав Олесьович / Дідик Сергій Станіславович)</v>
      </c>
      <c r="H61" s="41" t="str">
        <f t="shared" si="50"/>
        <v>Команда 1 (Сторожук Микола Миколайович / Нестерчук Вадим Миколайович)</v>
      </c>
      <c r="I61" s="41" t="str">
        <f t="shared" si="51"/>
        <v>Завершено</v>
      </c>
      <c r="J61" s="41">
        <f t="shared" si="52"/>
        <v>6</v>
      </c>
      <c r="P61" s="28">
        <v>7</v>
      </c>
      <c r="Q61" s="28">
        <v>11</v>
      </c>
    </row>
    <row r="62" spans="2:18" ht="15" x14ac:dyDescent="0.2">
      <c r="B62" s="41" t="s">
        <v>148</v>
      </c>
      <c r="C62" s="41" t="str">
        <f t="shared" si="53"/>
        <v>Команда 6 (Глухов Андрій Валерійович / Змієвський Станіслав Валерійович)</v>
      </c>
      <c r="D62" s="46">
        <v>11</v>
      </c>
      <c r="E62" s="41" t="s">
        <v>40</v>
      </c>
      <c r="F62" s="44">
        <v>2</v>
      </c>
      <c r="G62" s="41" t="str">
        <f>C28</f>
        <v>Команда 8 (Камінський Владислав Олесьович / Дідик Сергій Станіславович)</v>
      </c>
      <c r="H62" s="41" t="str">
        <f t="shared" si="50"/>
        <v>Команда 6 (Глухов Андрій Валерійович / Змієвський Станіслав Валерійович)</v>
      </c>
      <c r="I62" s="41" t="str">
        <f t="shared" si="51"/>
        <v>Завершено</v>
      </c>
      <c r="J62" s="41">
        <f t="shared" si="52"/>
        <v>9</v>
      </c>
      <c r="P62" s="28">
        <v>5</v>
      </c>
      <c r="Q62" s="28">
        <v>11</v>
      </c>
    </row>
    <row r="64" spans="2:18" ht="12.75" x14ac:dyDescent="0.2">
      <c r="N64" s="28" t="s">
        <v>138</v>
      </c>
      <c r="P64" s="28">
        <v>1</v>
      </c>
      <c r="Q64" s="28">
        <v>11</v>
      </c>
      <c r="R64" s="28" t="s">
        <v>136</v>
      </c>
    </row>
    <row r="65" spans="16:17" ht="12.75" x14ac:dyDescent="0.2">
      <c r="P65" s="28">
        <v>8</v>
      </c>
      <c r="Q65" s="28">
        <v>11</v>
      </c>
    </row>
  </sheetData>
  <mergeCells count="23">
    <mergeCell ref="B2:U2"/>
    <mergeCell ref="B4:J4"/>
    <mergeCell ref="L4:U4"/>
    <mergeCell ref="B11:J11"/>
    <mergeCell ref="B18:J18"/>
    <mergeCell ref="L18:U18"/>
    <mergeCell ref="L19:U19"/>
    <mergeCell ref="L20:U20"/>
    <mergeCell ref="L21:U21"/>
    <mergeCell ref="L22:U22"/>
    <mergeCell ref="L23:U23"/>
    <mergeCell ref="B24:J24"/>
    <mergeCell ref="L24:U24"/>
    <mergeCell ref="B30:J30"/>
    <mergeCell ref="B52:J52"/>
    <mergeCell ref="B58:J58"/>
    <mergeCell ref="L30:Q30"/>
    <mergeCell ref="N31:Q31"/>
    <mergeCell ref="N32:Q32"/>
    <mergeCell ref="N33:Q33"/>
    <mergeCell ref="B34:J34"/>
    <mergeCell ref="N34:Q34"/>
    <mergeCell ref="B43:J43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P197"/>
  <sheetViews>
    <sheetView workbookViewId="0">
      <selection activeCell="H2" sqref="H2:I7"/>
    </sheetView>
  </sheetViews>
  <sheetFormatPr defaultColWidth="12.5703125" defaultRowHeight="15.75" customHeight="1" x14ac:dyDescent="0.2"/>
  <cols>
    <col min="1" max="1" width="14.42578125" customWidth="1"/>
    <col min="2" max="2" width="13.85546875" customWidth="1"/>
    <col min="3" max="4" width="30.42578125" customWidth="1"/>
    <col min="5" max="5" width="29" customWidth="1"/>
    <col min="6" max="6" width="19.5703125" customWidth="1"/>
    <col min="7" max="7" width="36.7109375" customWidth="1"/>
    <col min="8" max="8" width="19.85546875" customWidth="1"/>
    <col min="9" max="9" width="21.85546875" customWidth="1"/>
    <col min="10" max="10" width="17.140625" customWidth="1"/>
  </cols>
  <sheetData>
    <row r="1" spans="1:16" x14ac:dyDescent="0.2">
      <c r="A1" s="34"/>
      <c r="B1" s="35"/>
      <c r="C1" s="4" t="s">
        <v>27</v>
      </c>
      <c r="D1" s="4" t="s">
        <v>2</v>
      </c>
      <c r="E1" s="4"/>
      <c r="F1" s="4"/>
      <c r="G1" s="4"/>
      <c r="H1" s="4"/>
      <c r="I1" s="4"/>
      <c r="J1" s="4"/>
      <c r="K1" s="47"/>
      <c r="L1" s="47"/>
      <c r="M1" s="47"/>
      <c r="N1" s="47"/>
      <c r="O1" s="47"/>
      <c r="P1" s="47"/>
    </row>
    <row r="2" spans="1:16" x14ac:dyDescent="0.2">
      <c r="A2" s="48">
        <v>12</v>
      </c>
      <c r="B2" s="49">
        <v>46287.831944444442</v>
      </c>
      <c r="C2" s="50">
        <v>1</v>
      </c>
      <c r="D2" s="50" t="s">
        <v>149</v>
      </c>
      <c r="E2" s="50">
        <v>3</v>
      </c>
      <c r="F2" s="50" t="s">
        <v>4</v>
      </c>
      <c r="G2" s="50" t="s">
        <v>150</v>
      </c>
      <c r="H2" s="50"/>
      <c r="I2" s="50"/>
      <c r="J2" s="50" t="s">
        <v>4</v>
      </c>
      <c r="K2" s="51"/>
      <c r="L2" s="52"/>
      <c r="M2" s="52"/>
      <c r="N2" s="52"/>
      <c r="O2" s="52"/>
      <c r="P2" s="52"/>
    </row>
    <row r="3" spans="1:16" x14ac:dyDescent="0.2">
      <c r="A3" s="1">
        <v>33</v>
      </c>
      <c r="B3" s="2">
        <v>46294.261805555558</v>
      </c>
      <c r="C3" s="3">
        <v>2</v>
      </c>
      <c r="D3" s="3" t="s">
        <v>151</v>
      </c>
      <c r="E3" s="3">
        <v>3</v>
      </c>
      <c r="F3" s="3" t="s">
        <v>4</v>
      </c>
      <c r="G3" s="3" t="s">
        <v>150</v>
      </c>
      <c r="H3" s="3"/>
      <c r="I3" s="3"/>
      <c r="J3" s="3" t="s">
        <v>4</v>
      </c>
      <c r="K3" s="53"/>
      <c r="L3" s="52"/>
      <c r="M3" s="52"/>
      <c r="N3" s="52"/>
      <c r="O3" s="52"/>
      <c r="P3" s="52"/>
    </row>
    <row r="4" spans="1:16" x14ac:dyDescent="0.2">
      <c r="A4" s="1">
        <v>34</v>
      </c>
      <c r="B4" s="2">
        <v>46294.87777777778</v>
      </c>
      <c r="C4" s="3">
        <v>3</v>
      </c>
      <c r="D4" s="3" t="s">
        <v>152</v>
      </c>
      <c r="E4" s="3">
        <v>3</v>
      </c>
      <c r="F4" s="3" t="s">
        <v>4</v>
      </c>
      <c r="G4" s="3" t="s">
        <v>150</v>
      </c>
      <c r="H4" s="3"/>
      <c r="I4" s="3"/>
      <c r="J4" s="3" t="s">
        <v>4</v>
      </c>
      <c r="K4" s="53"/>
      <c r="L4" s="52"/>
      <c r="M4" s="52"/>
      <c r="N4" s="52"/>
      <c r="O4" s="52"/>
      <c r="P4" s="52"/>
    </row>
    <row r="5" spans="1:16" x14ac:dyDescent="0.2">
      <c r="A5" s="36"/>
      <c r="B5" s="36"/>
      <c r="C5" s="12">
        <v>4</v>
      </c>
      <c r="D5" s="12" t="s">
        <v>153</v>
      </c>
      <c r="E5" s="36"/>
      <c r="F5" s="36"/>
      <c r="G5" s="36"/>
      <c r="H5" s="36"/>
      <c r="I5" s="36"/>
      <c r="J5" s="36"/>
      <c r="K5" s="54"/>
      <c r="L5" s="55"/>
      <c r="M5" s="55"/>
      <c r="N5" s="55"/>
      <c r="O5" s="55"/>
      <c r="P5" s="55"/>
    </row>
    <row r="6" spans="1:16" x14ac:dyDescent="0.2">
      <c r="A6" s="1">
        <v>8</v>
      </c>
      <c r="B6" s="2">
        <v>46286.673611111109</v>
      </c>
      <c r="C6" s="3">
        <v>5</v>
      </c>
      <c r="D6" s="3" t="s">
        <v>154</v>
      </c>
      <c r="E6" s="3">
        <v>3</v>
      </c>
      <c r="F6" s="3" t="s">
        <v>4</v>
      </c>
      <c r="G6" s="3" t="s">
        <v>150</v>
      </c>
      <c r="H6" s="3"/>
      <c r="I6" s="36"/>
      <c r="J6" s="3" t="s">
        <v>4</v>
      </c>
      <c r="K6" s="53"/>
      <c r="L6" s="52"/>
      <c r="M6" s="52"/>
      <c r="N6" s="52"/>
      <c r="O6" s="52"/>
      <c r="P6" s="52"/>
    </row>
    <row r="7" spans="1:16" x14ac:dyDescent="0.2">
      <c r="A7" s="1">
        <v>9</v>
      </c>
      <c r="B7" s="2">
        <v>46286.755555555559</v>
      </c>
      <c r="C7" s="3">
        <v>6</v>
      </c>
      <c r="D7" s="3" t="s">
        <v>155</v>
      </c>
      <c r="E7" s="3">
        <v>3</v>
      </c>
      <c r="F7" s="3" t="s">
        <v>4</v>
      </c>
      <c r="G7" s="3" t="s">
        <v>109</v>
      </c>
      <c r="H7" s="3"/>
      <c r="I7" s="3"/>
      <c r="J7" s="3" t="s">
        <v>4</v>
      </c>
      <c r="K7" s="47"/>
      <c r="L7" s="47"/>
      <c r="M7" s="47"/>
      <c r="N7" s="47"/>
      <c r="O7" s="47"/>
      <c r="P7" s="47"/>
    </row>
    <row r="8" spans="1:16" x14ac:dyDescent="0.2">
      <c r="A8" s="36"/>
      <c r="B8" s="36"/>
      <c r="C8" s="36"/>
      <c r="D8" s="36"/>
      <c r="E8" s="36"/>
      <c r="F8" s="36"/>
      <c r="G8" s="36"/>
      <c r="H8" s="36"/>
      <c r="I8" s="36"/>
      <c r="J8" s="36"/>
      <c r="K8" s="53"/>
      <c r="L8" s="52"/>
      <c r="M8" s="52"/>
      <c r="N8" s="52"/>
      <c r="O8" s="52"/>
      <c r="P8" s="52"/>
    </row>
    <row r="9" spans="1:16" x14ac:dyDescent="0.2">
      <c r="A9" s="36"/>
      <c r="B9" s="36"/>
      <c r="C9" s="36"/>
      <c r="D9" s="36"/>
      <c r="E9" s="36"/>
      <c r="F9" s="36"/>
      <c r="G9" s="36"/>
      <c r="H9" s="36"/>
      <c r="I9" s="36"/>
      <c r="J9" s="36"/>
      <c r="K9" s="53"/>
      <c r="L9" s="52"/>
      <c r="M9" s="52"/>
      <c r="N9" s="52"/>
      <c r="O9" s="52"/>
      <c r="P9" s="52"/>
    </row>
    <row r="10" spans="1:16" x14ac:dyDescent="0.2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53"/>
      <c r="L10" s="52"/>
      <c r="M10" s="52"/>
      <c r="N10" s="52"/>
      <c r="O10" s="52"/>
      <c r="P10" s="52"/>
    </row>
    <row r="11" spans="1:16" x14ac:dyDescent="0.2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53"/>
      <c r="L11" s="52"/>
      <c r="M11" s="52"/>
      <c r="N11" s="52"/>
      <c r="O11" s="52"/>
      <c r="P11" s="52"/>
    </row>
    <row r="12" spans="1:16" x14ac:dyDescent="0.2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53"/>
      <c r="L12" s="52"/>
      <c r="M12" s="52"/>
      <c r="N12" s="52"/>
      <c r="O12" s="52"/>
      <c r="P12" s="52"/>
    </row>
    <row r="13" spans="1:16" x14ac:dyDescent="0.2">
      <c r="A13" s="56"/>
      <c r="B13" s="57"/>
      <c r="C13" s="57"/>
      <c r="D13" s="57"/>
      <c r="E13" s="57"/>
      <c r="F13" s="57"/>
      <c r="G13" s="57"/>
      <c r="H13" s="57"/>
      <c r="I13" s="57"/>
      <c r="J13" s="57"/>
      <c r="K13" s="52"/>
      <c r="L13" s="52"/>
      <c r="M13" s="52"/>
      <c r="N13" s="52"/>
      <c r="O13" s="52"/>
      <c r="P13" s="52"/>
    </row>
    <row r="14" spans="1:16" x14ac:dyDescent="0.2">
      <c r="A14" s="58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</row>
    <row r="15" spans="1:16" x14ac:dyDescent="0.2">
      <c r="A15" s="58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</row>
    <row r="16" spans="1:16" x14ac:dyDescent="0.2">
      <c r="A16" s="58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</row>
    <row r="17" spans="1:16" x14ac:dyDescent="0.2">
      <c r="A17" s="58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</row>
    <row r="18" spans="1:16" x14ac:dyDescent="0.2">
      <c r="A18" s="58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</row>
    <row r="19" spans="1:16" x14ac:dyDescent="0.2">
      <c r="A19" s="58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</row>
    <row r="20" spans="1:16" x14ac:dyDescent="0.2">
      <c r="A20" s="58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</row>
    <row r="21" spans="1:16" x14ac:dyDescent="0.2">
      <c r="A21" s="58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</row>
    <row r="22" spans="1:16" x14ac:dyDescent="0.2">
      <c r="A22" s="58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</row>
    <row r="23" spans="1:16" x14ac:dyDescent="0.2">
      <c r="A23" s="58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</row>
    <row r="24" spans="1:16" x14ac:dyDescent="0.2">
      <c r="A24" s="58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</row>
    <row r="25" spans="1:16" x14ac:dyDescent="0.2">
      <c r="A25" s="58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</row>
    <row r="26" spans="1:16" x14ac:dyDescent="0.2">
      <c r="A26" s="58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</row>
    <row r="27" spans="1:16" x14ac:dyDescent="0.2">
      <c r="A27" s="58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</row>
    <row r="28" spans="1:16" x14ac:dyDescent="0.2">
      <c r="A28" s="58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</row>
    <row r="29" spans="1:16" x14ac:dyDescent="0.2">
      <c r="A29" s="58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</row>
    <row r="30" spans="1:16" x14ac:dyDescent="0.2">
      <c r="A30" s="58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</row>
    <row r="31" spans="1:16" x14ac:dyDescent="0.2">
      <c r="A31" s="58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</row>
    <row r="32" spans="1:16" x14ac:dyDescent="0.2">
      <c r="A32" s="58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</row>
    <row r="33" spans="1:16" x14ac:dyDescent="0.2">
      <c r="A33" s="58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</row>
    <row r="34" spans="1:16" x14ac:dyDescent="0.2">
      <c r="A34" s="58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</row>
    <row r="35" spans="1:16" x14ac:dyDescent="0.2">
      <c r="A35" s="58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</row>
    <row r="36" spans="1:16" x14ac:dyDescent="0.2">
      <c r="A36" s="58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</row>
    <row r="37" spans="1:16" x14ac:dyDescent="0.2">
      <c r="A37" s="58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</row>
    <row r="38" spans="1:16" x14ac:dyDescent="0.2">
      <c r="A38" s="58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</row>
    <row r="39" spans="1:16" x14ac:dyDescent="0.2">
      <c r="A39" s="58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</row>
    <row r="40" spans="1:16" x14ac:dyDescent="0.2">
      <c r="A40" s="58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</row>
    <row r="41" spans="1:16" x14ac:dyDescent="0.2">
      <c r="A41" s="58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</row>
    <row r="42" spans="1:16" x14ac:dyDescent="0.2">
      <c r="A42" s="58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</row>
    <row r="43" spans="1:16" x14ac:dyDescent="0.2">
      <c r="A43" s="58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</row>
    <row r="44" spans="1:16" x14ac:dyDescent="0.2">
      <c r="A44" s="58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</row>
    <row r="45" spans="1:16" x14ac:dyDescent="0.2">
      <c r="A45" s="58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</row>
    <row r="46" spans="1:16" x14ac:dyDescent="0.2">
      <c r="A46" s="58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</row>
    <row r="47" spans="1:16" x14ac:dyDescent="0.2">
      <c r="A47" s="58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</row>
    <row r="48" spans="1:16" x14ac:dyDescent="0.2">
      <c r="A48" s="58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</row>
    <row r="49" spans="1:16" x14ac:dyDescent="0.2">
      <c r="A49" s="58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</row>
    <row r="50" spans="1:16" x14ac:dyDescent="0.2">
      <c r="A50" s="58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</row>
    <row r="51" spans="1:16" x14ac:dyDescent="0.2">
      <c r="A51" s="58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</row>
    <row r="52" spans="1:16" x14ac:dyDescent="0.2">
      <c r="A52" s="58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</row>
    <row r="53" spans="1:16" x14ac:dyDescent="0.2">
      <c r="A53" s="58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</row>
    <row r="54" spans="1:16" x14ac:dyDescent="0.2">
      <c r="A54" s="58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</row>
    <row r="55" spans="1:16" x14ac:dyDescent="0.2">
      <c r="A55" s="58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</row>
    <row r="56" spans="1:16" x14ac:dyDescent="0.2">
      <c r="A56" s="58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</row>
    <row r="57" spans="1:16" x14ac:dyDescent="0.2">
      <c r="A57" s="58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</row>
    <row r="58" spans="1:16" x14ac:dyDescent="0.2">
      <c r="A58" s="58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</row>
    <row r="59" spans="1:16" x14ac:dyDescent="0.2">
      <c r="A59" s="58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</row>
    <row r="60" spans="1:16" x14ac:dyDescent="0.2">
      <c r="A60" s="58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</row>
    <row r="61" spans="1:16" x14ac:dyDescent="0.2">
      <c r="A61" s="58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</row>
    <row r="62" spans="1:16" x14ac:dyDescent="0.2">
      <c r="A62" s="58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</row>
    <row r="63" spans="1:16" x14ac:dyDescent="0.2">
      <c r="A63" s="58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</row>
    <row r="64" spans="1:16" x14ac:dyDescent="0.2">
      <c r="A64" s="58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</row>
    <row r="65" spans="1:16" x14ac:dyDescent="0.2">
      <c r="A65" s="58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</row>
    <row r="66" spans="1:16" x14ac:dyDescent="0.2">
      <c r="A66" s="58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</row>
    <row r="67" spans="1:16" x14ac:dyDescent="0.2">
      <c r="A67" s="58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</row>
    <row r="68" spans="1:16" x14ac:dyDescent="0.2">
      <c r="A68" s="58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</row>
    <row r="69" spans="1:16" x14ac:dyDescent="0.2">
      <c r="A69" s="58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</row>
    <row r="70" spans="1:16" x14ac:dyDescent="0.2">
      <c r="A70" s="58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</row>
    <row r="71" spans="1:16" x14ac:dyDescent="0.2">
      <c r="A71" s="58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</row>
    <row r="72" spans="1:16" x14ac:dyDescent="0.2">
      <c r="A72" s="58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</row>
    <row r="73" spans="1:16" x14ac:dyDescent="0.2">
      <c r="A73" s="58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</row>
    <row r="74" spans="1:16" x14ac:dyDescent="0.2">
      <c r="A74" s="58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</row>
    <row r="75" spans="1:16" x14ac:dyDescent="0.2">
      <c r="A75" s="58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</row>
    <row r="76" spans="1:16" x14ac:dyDescent="0.2">
      <c r="A76" s="58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</row>
    <row r="77" spans="1:16" x14ac:dyDescent="0.2">
      <c r="A77" s="58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</row>
    <row r="78" spans="1:16" x14ac:dyDescent="0.2">
      <c r="A78" s="58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</row>
    <row r="79" spans="1:16" x14ac:dyDescent="0.2">
      <c r="A79" s="58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</row>
    <row r="80" spans="1:16" x14ac:dyDescent="0.2">
      <c r="A80" s="58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</row>
    <row r="81" spans="1:16" x14ac:dyDescent="0.2">
      <c r="A81" s="58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</row>
    <row r="82" spans="1:16" x14ac:dyDescent="0.2">
      <c r="A82" s="58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</row>
    <row r="83" spans="1:16" x14ac:dyDescent="0.2">
      <c r="A83" s="58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</row>
    <row r="84" spans="1:16" x14ac:dyDescent="0.2">
      <c r="A84" s="58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</row>
    <row r="85" spans="1:16" x14ac:dyDescent="0.2">
      <c r="A85" s="58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</row>
    <row r="86" spans="1:16" x14ac:dyDescent="0.2">
      <c r="A86" s="58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</row>
    <row r="87" spans="1:16" x14ac:dyDescent="0.2">
      <c r="A87" s="58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</row>
    <row r="88" spans="1:16" x14ac:dyDescent="0.2">
      <c r="A88" s="58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</row>
    <row r="89" spans="1:16" x14ac:dyDescent="0.2">
      <c r="A89" s="58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</row>
    <row r="90" spans="1:16" x14ac:dyDescent="0.2">
      <c r="A90" s="58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</row>
    <row r="91" spans="1:16" x14ac:dyDescent="0.2">
      <c r="A91" s="58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</row>
    <row r="92" spans="1:16" x14ac:dyDescent="0.2">
      <c r="A92" s="58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</row>
    <row r="93" spans="1:16" x14ac:dyDescent="0.2">
      <c r="A93" s="58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</row>
    <row r="94" spans="1:16" x14ac:dyDescent="0.2">
      <c r="A94" s="58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</row>
    <row r="95" spans="1:16" x14ac:dyDescent="0.2">
      <c r="A95" s="58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</row>
    <row r="96" spans="1:16" x14ac:dyDescent="0.2">
      <c r="A96" s="58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</row>
    <row r="97" spans="1:16" x14ac:dyDescent="0.2">
      <c r="A97" s="58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</row>
    <row r="98" spans="1:16" x14ac:dyDescent="0.2">
      <c r="A98" s="58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</row>
    <row r="99" spans="1:16" x14ac:dyDescent="0.2">
      <c r="A99" s="58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</row>
    <row r="100" spans="1:16" x14ac:dyDescent="0.2">
      <c r="A100" s="58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</row>
    <row r="101" spans="1:16" x14ac:dyDescent="0.2">
      <c r="A101" s="58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</row>
    <row r="102" spans="1:16" x14ac:dyDescent="0.2">
      <c r="A102" s="58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</row>
    <row r="103" spans="1:16" x14ac:dyDescent="0.2">
      <c r="A103" s="58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</row>
    <row r="191" spans="5:5" x14ac:dyDescent="0.2">
      <c r="E191" s="28">
        <v>16</v>
      </c>
    </row>
    <row r="192" spans="5:5" x14ac:dyDescent="0.2">
      <c r="E192" s="28">
        <v>28</v>
      </c>
    </row>
    <row r="193" spans="5:6" x14ac:dyDescent="0.2">
      <c r="E193" s="28">
        <v>5</v>
      </c>
    </row>
    <row r="195" spans="5:6" x14ac:dyDescent="0.2">
      <c r="E195" s="28">
        <v>4</v>
      </c>
    </row>
    <row r="197" spans="5:6" x14ac:dyDescent="0.2">
      <c r="E197" s="28">
        <v>4</v>
      </c>
      <c r="F197" s="28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B2:T20"/>
  <sheetViews>
    <sheetView workbookViewId="0">
      <selection activeCell="C5" sqref="C5"/>
    </sheetView>
  </sheetViews>
  <sheetFormatPr defaultColWidth="12.5703125" defaultRowHeight="15.75" customHeight="1" x14ac:dyDescent="0.2"/>
  <cols>
    <col min="1" max="1" width="3.85546875" customWidth="1"/>
    <col min="2" max="2" width="7" customWidth="1"/>
    <col min="3" max="3" width="27.5703125" customWidth="1"/>
    <col min="4" max="4" width="12.5703125" customWidth="1"/>
    <col min="5" max="5" width="3.85546875" customWidth="1"/>
    <col min="6" max="6" width="8.85546875" customWidth="1"/>
    <col min="7" max="7" width="27.5703125" customWidth="1"/>
    <col min="8" max="8" width="25.140625" customWidth="1"/>
    <col min="9" max="9" width="26.42578125" customWidth="1"/>
    <col min="10" max="10" width="10.140625" customWidth="1"/>
    <col min="11" max="11" width="4.42578125" customWidth="1"/>
    <col min="12" max="12" width="5.7109375" customWidth="1"/>
    <col min="13" max="13" width="17" customWidth="1"/>
    <col min="14" max="14" width="7.5703125" customWidth="1"/>
    <col min="15" max="16" width="6.42578125" customWidth="1"/>
    <col min="17" max="18" width="9.42578125" customWidth="1"/>
    <col min="19" max="19" width="11.42578125" customWidth="1"/>
    <col min="20" max="20" width="8.28515625" customWidth="1"/>
  </cols>
  <sheetData>
    <row r="2" spans="2:20" ht="28.5" customHeight="1" x14ac:dyDescent="0.2">
      <c r="B2" s="88" t="s">
        <v>156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</row>
    <row r="3" spans="2:20" ht="21" customHeight="1" x14ac:dyDescent="0.2">
      <c r="B3" s="89" t="s">
        <v>157</v>
      </c>
      <c r="C3" s="64"/>
      <c r="D3" s="65"/>
      <c r="L3" s="89" t="s">
        <v>158</v>
      </c>
      <c r="M3" s="64"/>
      <c r="N3" s="64"/>
      <c r="O3" s="64"/>
      <c r="P3" s="64"/>
      <c r="Q3" s="64"/>
      <c r="R3" s="64"/>
      <c r="S3" s="64"/>
      <c r="T3" s="65"/>
    </row>
    <row r="4" spans="2:20" ht="19.5" customHeight="1" x14ac:dyDescent="0.2">
      <c r="B4" s="59" t="s">
        <v>27</v>
      </c>
      <c r="C4" s="59" t="s">
        <v>159</v>
      </c>
      <c r="D4" s="59" t="s">
        <v>160</v>
      </c>
      <c r="L4" s="59" t="s">
        <v>27</v>
      </c>
      <c r="M4" s="59" t="s">
        <v>161</v>
      </c>
      <c r="N4" s="59" t="s">
        <v>29</v>
      </c>
      <c r="O4" s="59" t="s">
        <v>30</v>
      </c>
      <c r="P4" s="59" t="s">
        <v>31</v>
      </c>
      <c r="Q4" s="59" t="s">
        <v>32</v>
      </c>
      <c r="R4" s="59" t="s">
        <v>33</v>
      </c>
      <c r="S4" s="59" t="s">
        <v>34</v>
      </c>
      <c r="T4" s="59" t="s">
        <v>35</v>
      </c>
    </row>
    <row r="5" spans="2:20" ht="12.75" x14ac:dyDescent="0.2">
      <c r="B5" s="42">
        <f>'Группа 3'!C2</f>
        <v>1</v>
      </c>
      <c r="C5" s="60" t="str">
        <f>'Группа 3'!D2</f>
        <v>Котліна Віра Валеріївна</v>
      </c>
      <c r="D5" s="42" t="str">
        <f ca="1">IFERROR(__xludf.DUMMYFUNCTION("INDEX(SPLIT(C5, "" ""), 1) &amp; "" "" &amp; LEFT(INDEX(SPLIT(C5, "" ""), 2), 1) &amp; ""."""),"Котліна В.")</f>
        <v>Котліна В.</v>
      </c>
      <c r="L5" s="42">
        <v>1</v>
      </c>
      <c r="M5" s="60" t="str">
        <f t="shared" ref="M5:M10" ca="1" si="0">D5</f>
        <v>Котліна В.</v>
      </c>
      <c r="N5" s="42">
        <f>(ISNUMBER($D$14)*ISNUMBER($F$14))+(ISNUMBER($D$16)*ISNUMBER($F$16))+(ISNUMBER($D$17)*ISNUMBER($F$17))+(ISNUMBER($D$18)*ISNUMBER($F$18))</f>
        <v>4</v>
      </c>
      <c r="O5" s="42">
        <f>(ISNUMBER($D$14)*ISNUMBER($F$14)*($D$14&gt;$F$14))+(ISNUMBER($D$16)*ISNUMBER($F$16)*($D$16&gt;$F$16))+(ISNUMBER($D$17)*ISNUMBER($F$17)*($D$17&gt;$F$17))+(ISNUMBER($D$18)*ISNUMBER($F$18)*($D$18&gt;$F$18))</f>
        <v>2</v>
      </c>
      <c r="P5" s="42">
        <f>(ISNUMBER($D$14)*ISNUMBER($F$14)*($D$14&lt;$F$14))+(ISNUMBER($D$16)*ISNUMBER($F$16)*($D$16&lt;$F$16))+(ISNUMBER($D$17)*ISNUMBER($F$17)*($D$17&lt;$F$17))+(ISNUMBER($D$18)*ISNUMBER($F$18)*($D$18&lt;$F$18))</f>
        <v>2</v>
      </c>
      <c r="Q5" s="42">
        <f>(ISNUMBER($D$14)*$D$14)+(ISNUMBER($D$16)*$D$16)+(ISNUMBER($D$17)*$D$17)+(ISNUMBER($D$18)*$D$18)</f>
        <v>25</v>
      </c>
      <c r="R5" s="42">
        <f>(ISNUMBER($F$14)*$F$14)+(ISNUMBER($F$16)*$F$16)+(ISNUMBER($F$17)*$F$17)+(ISNUMBER($F$18)*$F$18)</f>
        <v>25</v>
      </c>
      <c r="S5" s="43">
        <f t="shared" ref="S5:S10" si="1">Q5-R5</f>
        <v>0</v>
      </c>
      <c r="T5" s="61">
        <f t="shared" ref="T5:T10" si="2">IF(SUM($N$5:$N$10)=0, "—", 1 + COUNTIFS($S$5:$S$10, "&gt;"&amp;S5) + COUNTIFS($S$5:$S$10, S5, $O$5:$O$10, "&gt;"&amp;O5) + COUNTIFS($S$5:$S$10, S5, $O$5:$O$10, O5, $Q$5:$Q$10, "&gt;"&amp;Q5))</f>
        <v>4</v>
      </c>
    </row>
    <row r="6" spans="2:20" ht="12.75" x14ac:dyDescent="0.2">
      <c r="B6" s="42">
        <f>'Группа 3'!C3</f>
        <v>2</v>
      </c>
      <c r="C6" s="60" t="str">
        <f>'Группа 3'!D3</f>
        <v>Концева Еліна Миколаївна</v>
      </c>
      <c r="D6" s="42" t="str">
        <f ca="1">IFERROR(__xludf.DUMMYFUNCTION("INDEX(SPLIT(C6, "" ""), 1) &amp; "" "" &amp; LEFT(INDEX(SPLIT(C6, "" ""), 2), 1) &amp; ""."""),"Концева Е.")</f>
        <v>Концева Е.</v>
      </c>
      <c r="E6" s="28">
        <v>3</v>
      </c>
      <c r="L6" s="42">
        <v>2</v>
      </c>
      <c r="M6" s="60" t="str">
        <f t="shared" ca="1" si="0"/>
        <v>Концева Е.</v>
      </c>
      <c r="N6" s="42">
        <f>(ISNUMBER($D$15)*ISNUMBER($F$15))+(ISNUMBER($D$16)*ISNUMBER($F$16))+(ISNUMBER($D$17)*ISNUMBER($F$17))+(ISNUMBER($D$19)*ISNUMBER($F$19))</f>
        <v>4</v>
      </c>
      <c r="O6" s="42">
        <f>(ISNUMBER($D$15)*ISNUMBER($F$15)*($D$15&gt;$F$15))+(ISNUMBER($D$16)*ISNUMBER($F$16)*($F$16&gt;$D$16))+(ISNUMBER($D$17)*ISNUMBER($F$17)*($F$17&gt;$D$17))+(ISNUMBER($D$19)*ISNUMBER($F$19)*($D$19&gt;$F$19))</f>
        <v>2</v>
      </c>
      <c r="P6" s="42">
        <f>(ISNUMBER($D$15)*ISNUMBER($F$15)*($D$15&lt;$F$15))+(ISNUMBER($D$16)*ISNUMBER($F$16)*($F$16&lt;$D$16))+(ISNUMBER($D$17)*ISNUMBER($F$17)*($F$17&lt;$D$17))+(ISNUMBER($D$19)*ISNUMBER($F$19)*($D$19&lt;$F$19))</f>
        <v>2</v>
      </c>
      <c r="Q6" s="42">
        <f>(ISNUMBER($D$15)*$D$15)+(ISNUMBER($F$16)*$F$16)+(ISNUMBER($F$17)*$F$17)+(ISNUMBER($D$19)*$D$19)</f>
        <v>30</v>
      </c>
      <c r="R6" s="42">
        <f>(ISNUMBER($F$15)*$F$15)+(ISNUMBER($D$16)*$D$16)+(ISNUMBER($D$17)*$D$17)+(ISNUMBER($F$19)*$F$19)</f>
        <v>29</v>
      </c>
      <c r="S6" s="43">
        <f t="shared" si="1"/>
        <v>1</v>
      </c>
      <c r="T6" s="61">
        <f t="shared" si="2"/>
        <v>3</v>
      </c>
    </row>
    <row r="7" spans="2:20" ht="12.75" x14ac:dyDescent="0.2">
      <c r="B7" s="42">
        <f>'Группа 3'!C4</f>
        <v>3</v>
      </c>
      <c r="C7" s="60" t="str">
        <f>'Группа 3'!D4</f>
        <v>Папурова Антоніна Петрівна</v>
      </c>
      <c r="D7" s="42" t="str">
        <f ca="1">IFERROR(__xludf.DUMMYFUNCTION("INDEX(SPLIT(C7, "" ""), 1) &amp; "" "" &amp; LEFT(INDEX(SPLIT(C7, "" ""), 2), 1) &amp; ""."""),"Папурова А.")</f>
        <v>Папурова А.</v>
      </c>
      <c r="L7" s="42">
        <v>3</v>
      </c>
      <c r="M7" s="60" t="str">
        <f t="shared" ca="1" si="0"/>
        <v>Папурова А.</v>
      </c>
      <c r="N7" s="42">
        <f>(ISNUMBER($D$14)*ISNUMBER($F$14))+(ISNUMBER($D$15)*ISNUMBER($F$15))+(ISNUMBER($D$17)*ISNUMBER($F$17))+(ISNUMBER($D$19)*ISNUMBER($F$19))</f>
        <v>4</v>
      </c>
      <c r="O7" s="42">
        <f>(ISNUMBER($D$14)*ISNUMBER($F$14)*($F$14&gt;$D$14))+(ISNUMBER($D$15)*ISNUMBER($F$15)*($D$15&gt;$F$15))+(ISNUMBER($D$17)*ISNUMBER($F$17)*($D$17&gt;$F$17))+(ISNUMBER($D$19)*ISNUMBER($F$19)*($F$19&gt;$D$19))</f>
        <v>1</v>
      </c>
      <c r="P7" s="42">
        <f>(ISNUMBER($D$14)*ISNUMBER($F$14)*($F$14&lt;$D$14))+(ISNUMBER($D$15)*ISNUMBER($F$15)*($D$15&lt;$F$15))+(ISNUMBER($D$17)*ISNUMBER($F$17)*($D$17&lt;$F$17))+(ISNUMBER($D$19)*ISNUMBER($F$19)*($F$19&lt;$D$19))</f>
        <v>3</v>
      </c>
      <c r="Q7" s="42">
        <f>(ISNUMBER($F$14)*$F$14)+(ISNUMBER($D$15)*$D$15)+(ISNUMBER($D$17)*$D$17)+(ISNUMBER($F$19)*$F$19)</f>
        <v>24</v>
      </c>
      <c r="R7" s="42">
        <f>(ISNUMBER($D$14)*$D$14)+(ISNUMBER($F$15)*$F$15)+(ISNUMBER($F$17)*$F$17)+(ISNUMBER($D$19)*$D$19)</f>
        <v>33</v>
      </c>
      <c r="S7" s="43">
        <f t="shared" si="1"/>
        <v>-9</v>
      </c>
      <c r="T7" s="61">
        <f t="shared" si="2"/>
        <v>5</v>
      </c>
    </row>
    <row r="8" spans="2:20" ht="12.75" x14ac:dyDescent="0.2">
      <c r="B8" s="42">
        <f>'Группа 3'!C5</f>
        <v>4</v>
      </c>
      <c r="C8" s="60" t="str">
        <f>'Группа 3'!D5</f>
        <v>Крівонос Галина</v>
      </c>
      <c r="D8" s="42" t="str">
        <f ca="1">IFERROR(__xludf.DUMMYFUNCTION("INDEX(SPLIT(C8, "" ""), 1) &amp; "" "" &amp; LEFT(INDEX(SPLIT(C8, "" ""), 2), 1) &amp; ""."""),"Крівонос Г.")</f>
        <v>Крівонос Г.</v>
      </c>
      <c r="E8" s="28">
        <v>1</v>
      </c>
      <c r="L8" s="42">
        <v>4</v>
      </c>
      <c r="M8" s="60" t="str">
        <f t="shared" ca="1" si="0"/>
        <v>Крівонос Г.</v>
      </c>
      <c r="N8" s="42">
        <f>(ISNUMBER($D$14)*ISNUMBER($F$14))+(ISNUMBER($D$15)*ISNUMBER($F$15))+(ISNUMBER($D$17)*ISNUMBER($F$17))+(ISNUMBER($D$18)*ISNUMBER($F$18))</f>
        <v>4</v>
      </c>
      <c r="O8" s="42">
        <f>(ISNUMBER($D$14)*ISNUMBER($F$14)*($F$14&gt;$D$14))+(ISNUMBER($D$15)*ISNUMBER($F$15)*($F$15&gt;$D$15))+(ISNUMBER($D$17)*ISNUMBER($F$17)*($F$17&gt;$D$17))+(ISNUMBER($D$18)*ISNUMBER($F$18)*($D$18&gt;$F$18))</f>
        <v>4</v>
      </c>
      <c r="P8" s="42">
        <f>(ISNUMBER($D$14)*ISNUMBER($F$14)*($F$14&lt;$D$14))+(ISNUMBER($D$15)*ISNUMBER($F$15)*($F$15&lt;$D$15))+(ISNUMBER($D$17)*ISNUMBER($F$17)*($F$17&lt;$D$17))+(ISNUMBER($D$18)*ISNUMBER($F$18)*($D$18&lt;$F$18))</f>
        <v>0</v>
      </c>
      <c r="Q8" s="42">
        <f>(ISNUMBER($F$14)*$F$14)+(ISNUMBER($F$15)*$F$15)+(ISNUMBER($F$17)*$F$17)+(ISNUMBER($D$18)*$D$18)</f>
        <v>44</v>
      </c>
      <c r="R8" s="42">
        <f>(ISNUMBER($D$14)*$D$14)+(ISNUMBER($D$15)*$D$15)+(ISNUMBER($D$17)*$D$17)+(ISNUMBER($F$18)*$F$18)</f>
        <v>10</v>
      </c>
      <c r="S8" s="43">
        <f t="shared" si="1"/>
        <v>34</v>
      </c>
      <c r="T8" s="61">
        <f t="shared" si="2"/>
        <v>1</v>
      </c>
    </row>
    <row r="9" spans="2:20" ht="12.75" x14ac:dyDescent="0.2">
      <c r="B9" s="42">
        <f>'Группа 3'!C6</f>
        <v>5</v>
      </c>
      <c r="C9" s="60" t="str">
        <f>'Группа 3'!D6</f>
        <v>Катеринич Ірина Вікторівна</v>
      </c>
      <c r="D9" s="42" t="str">
        <f ca="1">IFERROR(__xludf.DUMMYFUNCTION("INDEX(SPLIT(C9, "" ""), 1) &amp; "" "" &amp; LEFT(INDEX(SPLIT(C9, "" ""), 2), 1) &amp; ""."""),"Катеринич І.")</f>
        <v>Катеринич І.</v>
      </c>
      <c r="E9" s="28">
        <v>2</v>
      </c>
      <c r="L9" s="42">
        <v>5</v>
      </c>
      <c r="M9" s="60" t="str">
        <f t="shared" ca="1" si="0"/>
        <v>Катеринич І.</v>
      </c>
      <c r="N9" s="42">
        <f>(ISNUMBER($D$15)*ISNUMBER($F$15))+(ISNUMBER($D$16)*ISNUMBER($F$16))+(ISNUMBER($D$18)*ISNUMBER($F$18))+(ISNUMBER($D$19)*ISNUMBER($F$19))</f>
        <v>4</v>
      </c>
      <c r="O9" s="42">
        <f>(ISNUMBER($D$15)*ISNUMBER($F$15)*($F$15&gt;$D$15))+(ISNUMBER($D$16)*ISNUMBER($F$16)*($D$16&gt;$F$16))+(ISNUMBER($D$18)*ISNUMBER($F$18)*($F$18&gt;$D$18))+(ISNUMBER($D$19)*ISNUMBER($F$19)*($D$19&gt;$F$19))</f>
        <v>3</v>
      </c>
      <c r="P9" s="42">
        <f>(ISNUMBER($D$15)*ISNUMBER($F$15)*($F$15&lt;$D$15))+(ISNUMBER($D$16)*ISNUMBER($F$16)*($D$16&lt;$F$16))+(ISNUMBER($D$18)*ISNUMBER($F$18)*($F$18&lt;$D$18))+(ISNUMBER($D$19)*ISNUMBER($F$19)*($D$19&lt;$F$19))</f>
        <v>1</v>
      </c>
      <c r="Q9" s="42">
        <f>(ISNUMBER($F$15)*$F$15)+(ISNUMBER($D$16)*$D$16)+(ISNUMBER($F$18)*$F$18)+(ISNUMBER($D$19)*$D$19)</f>
        <v>34</v>
      </c>
      <c r="R9" s="42">
        <f>(ISNUMBER($D$15)*$D$15)+(ISNUMBER($F$16)*$F$16)+(ISNUMBER($D$18)*$D$18)+(ISNUMBER($F$19)*$F$19)</f>
        <v>23</v>
      </c>
      <c r="S9" s="43">
        <f t="shared" si="1"/>
        <v>11</v>
      </c>
      <c r="T9" s="61">
        <f t="shared" si="2"/>
        <v>2</v>
      </c>
    </row>
    <row r="10" spans="2:20" ht="12.75" x14ac:dyDescent="0.2">
      <c r="B10" s="42">
        <f>'Группа 3'!C7</f>
        <v>6</v>
      </c>
      <c r="C10" s="60" t="str">
        <f>'Группа 3'!D7</f>
        <v>Ільїна Наталія Василівна</v>
      </c>
      <c r="D10" s="42" t="str">
        <f ca="1">IFERROR(__xludf.DUMMYFUNCTION("INDEX(SPLIT(C10, "" ""), 1) &amp; "" "" &amp; LEFT(INDEX(SPLIT(C10, "" ""), 2), 1) &amp; ""."""),"Ільїна Н.")</f>
        <v>Ільїна Н.</v>
      </c>
      <c r="L10" s="42">
        <v>6</v>
      </c>
      <c r="M10" s="60" t="str">
        <f t="shared" ca="1" si="0"/>
        <v>Ільїна Н.</v>
      </c>
      <c r="N10" s="42">
        <f>(ISNUMBER($D$14)*ISNUMBER($F$14))+(ISNUMBER($D$16)*ISNUMBER($F$16))+(ISNUMBER($D$18)*ISNUMBER($F$18))+(ISNUMBER($D$19)*ISNUMBER($F$19))</f>
        <v>4</v>
      </c>
      <c r="O10" s="42">
        <f>(ISNUMBER($D$14)*ISNUMBER($F$14)*($D$14&gt;$F$14))+(ISNUMBER($D$16)*ISNUMBER($F$16)*($F$16&gt;$D$16))+(ISNUMBER($D$18)*ISNUMBER($F$18)*($F$18&gt;$D$18))+(ISNUMBER($D$19)*ISNUMBER($F$19)*($F$19&gt;$D$19))</f>
        <v>0</v>
      </c>
      <c r="P10" s="42">
        <f>(ISNUMBER($D$14)*ISNUMBER($F$14)*($D$14&lt;$F$14))+(ISNUMBER($D$16)*ISNUMBER($F$16)*($F$16&lt;$D$16))+(ISNUMBER($D$18)*ISNUMBER($F$18)*($F$18&lt;$D$18))+(ISNUMBER($D$19)*ISNUMBER($F$19)*($F$19&lt;$D$19))</f>
        <v>4</v>
      </c>
      <c r="Q10" s="42">
        <f>(ISNUMBER($D$14)*$D$14)+(ISNUMBER($F$16)*$F$16)+(ISNUMBER($F$18)*$F$18)+(ISNUMBER($F$19)*$F$19)</f>
        <v>7</v>
      </c>
      <c r="R10" s="42">
        <f>(ISNUMBER($F$14)*$F$14)+(ISNUMBER($D$16)*$D$16)+(ISNUMBER($D$18)*$D$18)+(ISNUMBER($D$19)*$D$19)</f>
        <v>44</v>
      </c>
      <c r="S10" s="43">
        <f t="shared" si="1"/>
        <v>-37</v>
      </c>
      <c r="T10" s="61">
        <f t="shared" si="2"/>
        <v>6</v>
      </c>
    </row>
    <row r="12" spans="2:20" ht="21" customHeight="1" x14ac:dyDescent="0.2">
      <c r="B12" s="89" t="s">
        <v>162</v>
      </c>
      <c r="C12" s="64"/>
      <c r="D12" s="64"/>
      <c r="E12" s="64"/>
      <c r="F12" s="64"/>
      <c r="G12" s="64"/>
      <c r="H12" s="64"/>
      <c r="I12" s="64"/>
      <c r="J12" s="65"/>
    </row>
    <row r="13" spans="2:20" ht="19.5" customHeight="1" x14ac:dyDescent="0.2">
      <c r="B13" s="59" t="s">
        <v>37</v>
      </c>
      <c r="C13" s="59" t="s">
        <v>163</v>
      </c>
      <c r="D13" s="59" t="s">
        <v>39</v>
      </c>
      <c r="E13" s="59" t="s">
        <v>40</v>
      </c>
      <c r="F13" s="59" t="s">
        <v>41</v>
      </c>
      <c r="G13" s="59" t="s">
        <v>164</v>
      </c>
      <c r="H13" s="59" t="s">
        <v>165</v>
      </c>
      <c r="I13" s="59" t="s">
        <v>166</v>
      </c>
      <c r="J13" s="59" t="s">
        <v>65</v>
      </c>
    </row>
    <row r="14" spans="2:20" ht="12.75" x14ac:dyDescent="0.2">
      <c r="B14" s="42">
        <v>1</v>
      </c>
      <c r="C14" s="42" t="str">
        <f ca="1">$D$5 &amp; " / " &amp; $D$10</f>
        <v>Котліна В. / Ільїна Н.</v>
      </c>
      <c r="D14" s="62">
        <v>0</v>
      </c>
      <c r="E14" s="42" t="s">
        <v>40</v>
      </c>
      <c r="F14" s="62">
        <v>11</v>
      </c>
      <c r="G14" s="42" t="str">
        <f ca="1">$D$7 &amp; " / " &amp; $D$8</f>
        <v>Папурова А. / Крівонос Г.</v>
      </c>
      <c r="H14" s="42" t="str">
        <f ca="1">$D$6 &amp; ", " &amp; $D$9</f>
        <v>Концева Е., Катеринич І.</v>
      </c>
      <c r="I14" s="42" t="str">
        <f t="shared" ref="I14:I19" ca="1" si="3">IF(OR(ISBLANK(D14), ISBLANK(F14)), "—", IF(D14&gt;F14, C14, IF(F14&gt;D14, G14, "Нічия")))</f>
        <v>Папурова А. / Крівонос Г.</v>
      </c>
      <c r="J14" s="42">
        <f t="shared" ref="J14:J19" si="4">IF(OR(ISBLANK(D14), ISBLANK(F14)), "—", ABS(D14-F14))</f>
        <v>11</v>
      </c>
    </row>
    <row r="15" spans="2:20" ht="12.75" x14ac:dyDescent="0.2">
      <c r="B15" s="42">
        <v>2</v>
      </c>
      <c r="C15" s="42" t="str">
        <f ca="1">$D$6 &amp; " / " &amp; $D$7</f>
        <v>Концева Е. / Папурова А.</v>
      </c>
      <c r="D15" s="62">
        <v>6</v>
      </c>
      <c r="E15" s="42" t="s">
        <v>40</v>
      </c>
      <c r="F15" s="62">
        <v>11</v>
      </c>
      <c r="G15" s="42" t="str">
        <f ca="1">$D$8 &amp; " / " &amp; $D$9</f>
        <v>Крівонос Г. / Катеринич І.</v>
      </c>
      <c r="H15" s="42" t="str">
        <f ca="1">$D$5 &amp; ", " &amp; $D$10</f>
        <v>Котліна В., Ільїна Н.</v>
      </c>
      <c r="I15" s="42" t="str">
        <f t="shared" ca="1" si="3"/>
        <v>Крівонос Г. / Катеринич І.</v>
      </c>
      <c r="J15" s="42">
        <f t="shared" si="4"/>
        <v>5</v>
      </c>
    </row>
    <row r="16" spans="2:20" ht="12.75" x14ac:dyDescent="0.2">
      <c r="B16" s="42">
        <v>3</v>
      </c>
      <c r="C16" s="42" t="str">
        <f ca="1">$D$5 &amp; " / " &amp; $D$9</f>
        <v>Котліна В. / Катеринич І.</v>
      </c>
      <c r="D16" s="62">
        <v>11</v>
      </c>
      <c r="E16" s="42" t="s">
        <v>40</v>
      </c>
      <c r="F16" s="62">
        <v>2</v>
      </c>
      <c r="G16" s="42" t="str">
        <f ca="1">$D$6 &amp; " / " &amp; $D$10</f>
        <v>Концева Е. / Ільїна Н.</v>
      </c>
      <c r="H16" s="42" t="str">
        <f ca="1">$D$7 &amp; ", " &amp; $D$8</f>
        <v>Папурова А., Крівонос Г.</v>
      </c>
      <c r="I16" s="42" t="str">
        <f t="shared" ca="1" si="3"/>
        <v>Котліна В. / Катеринич І.</v>
      </c>
      <c r="J16" s="42">
        <f t="shared" si="4"/>
        <v>9</v>
      </c>
    </row>
    <row r="17" spans="2:10" ht="12.75" x14ac:dyDescent="0.2">
      <c r="B17" s="42">
        <v>4</v>
      </c>
      <c r="C17" s="42" t="str">
        <f ca="1">$D$5 &amp; " / " &amp; $D$7</f>
        <v>Котліна В. / Папурова А.</v>
      </c>
      <c r="D17" s="62">
        <v>3</v>
      </c>
      <c r="E17" s="42" t="s">
        <v>40</v>
      </c>
      <c r="F17" s="62">
        <v>11</v>
      </c>
      <c r="G17" s="42" t="str">
        <f ca="1">$D$6 &amp; " / " &amp; $D$8</f>
        <v>Концева Е. / Крівонос Г.</v>
      </c>
      <c r="H17" s="42" t="str">
        <f ca="1">$D$9 &amp; ", " &amp; $D$10</f>
        <v>Катеринич І., Ільїна Н.</v>
      </c>
      <c r="I17" s="42" t="str">
        <f t="shared" ca="1" si="3"/>
        <v>Концева Е. / Крівонос Г.</v>
      </c>
      <c r="J17" s="42">
        <f t="shared" si="4"/>
        <v>8</v>
      </c>
    </row>
    <row r="18" spans="2:10" ht="12.75" x14ac:dyDescent="0.2">
      <c r="B18" s="42">
        <v>5</v>
      </c>
      <c r="C18" s="42" t="str">
        <f ca="1">$D$5 &amp; " / " &amp; $D$8</f>
        <v>Котліна В. / Крівонос Г.</v>
      </c>
      <c r="D18" s="62">
        <v>11</v>
      </c>
      <c r="E18" s="42" t="s">
        <v>40</v>
      </c>
      <c r="F18" s="62">
        <v>1</v>
      </c>
      <c r="G18" s="42" t="str">
        <f ca="1">$D$9 &amp; " / " &amp; $D$10</f>
        <v>Катеринич І. / Ільїна Н.</v>
      </c>
      <c r="H18" s="42" t="str">
        <f ca="1">$D$6 &amp; ", " &amp; $D$7</f>
        <v>Концева Е., Папурова А.</v>
      </c>
      <c r="I18" s="42" t="str">
        <f t="shared" ca="1" si="3"/>
        <v>Котліна В. / Крівонос Г.</v>
      </c>
      <c r="J18" s="42">
        <f t="shared" si="4"/>
        <v>10</v>
      </c>
    </row>
    <row r="19" spans="2:10" ht="12.75" x14ac:dyDescent="0.2">
      <c r="B19" s="42">
        <v>6</v>
      </c>
      <c r="C19" s="42" t="str">
        <f ca="1">$D$6 &amp; " / " &amp; $D$9</f>
        <v>Концева Е. / Катеринич І.</v>
      </c>
      <c r="D19" s="62">
        <v>11</v>
      </c>
      <c r="E19" s="42" t="s">
        <v>40</v>
      </c>
      <c r="F19" s="62">
        <v>4</v>
      </c>
      <c r="G19" s="42" t="str">
        <f ca="1">$D$7 &amp; " / " &amp; $D$10</f>
        <v>Папурова А. / Ільїна Н.</v>
      </c>
      <c r="H19" s="42" t="str">
        <f ca="1">$D$5 &amp; ", " &amp; $D$8</f>
        <v>Котліна В., Крівонос Г.</v>
      </c>
      <c r="I19" s="42" t="str">
        <f t="shared" ca="1" si="3"/>
        <v>Концева Е. / Катеринич І.</v>
      </c>
      <c r="J19" s="42">
        <f t="shared" si="4"/>
        <v>7</v>
      </c>
    </row>
    <row r="20" spans="2:10" ht="12.75" x14ac:dyDescent="0.2">
      <c r="B20" s="90" t="s">
        <v>167</v>
      </c>
      <c r="C20" s="67"/>
      <c r="D20" s="67"/>
      <c r="E20" s="67"/>
      <c r="F20" s="67"/>
      <c r="G20" s="67"/>
      <c r="H20" s="67"/>
      <c r="I20" s="67"/>
      <c r="J20" s="67"/>
    </row>
  </sheetData>
  <mergeCells count="5">
    <mergeCell ref="B2:T2"/>
    <mergeCell ref="B3:D3"/>
    <mergeCell ref="L3:T3"/>
    <mergeCell ref="B12:J12"/>
    <mergeCell ref="B20:J20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Группа 1</vt:lpstr>
      <vt:lpstr>Сетка Группа 1</vt:lpstr>
      <vt:lpstr>Группа 2</vt:lpstr>
      <vt:lpstr>Сетка Группа 2</vt:lpstr>
      <vt:lpstr>Группа 3</vt:lpstr>
      <vt:lpstr>Сетка Группа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Sanmarin</dc:creator>
  <cp:lastModifiedBy>Oleksandr Hreshchuk</cp:lastModifiedBy>
  <dcterms:created xsi:type="dcterms:W3CDTF">2026-10-12T18:14:47Z</dcterms:created>
  <dcterms:modified xsi:type="dcterms:W3CDTF">2026-10-12T19:00:10Z</dcterms:modified>
</cp:coreProperties>
</file>